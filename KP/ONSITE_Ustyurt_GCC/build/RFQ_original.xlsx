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alkatas-my.sharepoint.com/personal/tsaripov_alkatas_com_tr/Documents/13_Alkatas Other Projects/01_Uz/12_Ozcan/"/>
    </mc:Choice>
  </mc:AlternateContent>
  <xr:revisionPtr revIDLastSave="0" documentId="8_{F88E07B5-1824-406B-AACE-3580E842A803}" xr6:coauthVersionLast="47" xr6:coauthVersionMax="47" xr10:uidLastSave="{00000000-0000-0000-0000-000000000000}"/>
  <bookViews>
    <workbookView xWindow="-28908" yWindow="-108" windowWidth="29016" windowHeight="15696" tabRatio="500" xr2:uid="{00000000-000D-0000-FFFF-FFFF00000000}"/>
  </bookViews>
  <sheets>
    <sheet name="1. Цены - Prices" sheetId="1" r:id="rId1"/>
    <sheet name="2. Условия - Terms" sheetId="2" r:id="rId2"/>
  </sheets>
  <definedNames>
    <definedName name="_xlnm.Print_Titles" localSheetId="0">'1. Цены - Prices'!$15:$16</definedName>
    <definedName name="_xlnm.Print_Titles" localSheetId="1">'2. Условия - Terms'!$5:$5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38" i="1" l="1"/>
  <c r="P38" i="1" s="1"/>
  <c r="N25" i="1"/>
  <c r="P25" i="1" s="1"/>
  <c r="Q47" i="1"/>
  <c r="N46" i="1"/>
  <c r="P46" i="1" s="1"/>
  <c r="N45" i="1"/>
  <c r="P45" i="1" s="1"/>
  <c r="N44" i="1"/>
  <c r="P44" i="1" s="1"/>
  <c r="N43" i="1"/>
  <c r="P43" i="1" s="1"/>
  <c r="N41" i="1"/>
  <c r="P41" i="1" s="1"/>
  <c r="N40" i="1"/>
  <c r="P40" i="1" s="1"/>
  <c r="N37" i="1"/>
  <c r="P37" i="1" s="1"/>
  <c r="N35" i="1"/>
  <c r="P35" i="1" s="1"/>
  <c r="N34" i="1"/>
  <c r="P34" i="1" s="1"/>
  <c r="N33" i="1"/>
  <c r="P33" i="1" s="1"/>
  <c r="N32" i="1"/>
  <c r="P32" i="1" s="1"/>
  <c r="N30" i="1"/>
  <c r="P30" i="1" s="1"/>
  <c r="N29" i="1"/>
  <c r="P29" i="1" s="1"/>
  <c r="N28" i="1"/>
  <c r="P28" i="1" s="1"/>
  <c r="N26" i="1"/>
  <c r="P26" i="1" s="1"/>
  <c r="N23" i="1"/>
  <c r="P23" i="1" s="1"/>
  <c r="N20" i="1"/>
  <c r="P20" i="1" s="1"/>
  <c r="N19" i="1"/>
  <c r="P19" i="1" s="1"/>
  <c r="P17" i="1"/>
  <c r="N21" i="1" l="1"/>
  <c r="P21" i="1" s="1"/>
  <c r="N22" i="1"/>
  <c r="P22" i="1" s="1"/>
  <c r="P4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23" authorId="0" shapeId="0" xr:uid="{00000000-0006-0000-0000-000001000000}">
      <text>
        <r>
          <rPr>
            <sz val="10"/>
            <rFont val="Arial"/>
            <family val="2"/>
          </rPr>
          <t>ДЛЯ ЗАКУПОК — проверить перед отправкой: в русском тексте ТЗ (п. 8) для установки сырой воды указано 35 000 м³, а для градирни 9 200 м³; в английском тексте — наоборот. Здесь принято 9 200 м³ (английская версия), т.к. для градирни в разделе очистки/пассивации указан объём 35 000 м³. Подтвердить у технолога и удалить примечание.
FOR PROCUREMENT — verify before sending: RU text of the TZ (sec. 8) gives 35,000 m³ for raw water and 9,200 m³ for the cooling tower; EN text gives the reverse. 9,200 m³ used here (EN version), consistent with the 35,000 m³ cooling system volume stated for cleaning/passivation. Confirm with the process engineer and delete this note.</t>
        </r>
      </text>
    </comment>
    <comment ref="H26" authorId="0" shapeId="0" xr:uid="{00000000-0006-0000-0000-000002000000}">
      <text>
        <r>
          <rPr>
            <sz val="10"/>
            <rFont val="Arial"/>
            <family val="2"/>
          </rPr>
          <t>ДЛЯ ЗАКУПОК — проверить перед отправкой: в русском тексте ТЗ для градирни указано 9 200 м³, в английском — 35 000 м³. Принято 35 000 м³ (совпадает с объёмом системы для очистки/пассивации). Подтвердить и удалить примечание.
FOR PROCUREMENT — verify before sending: RU text gives 9,200 m³ for the cooling tower, EN text gives 35,000 m³. 35,000 m³ used (matches system volume for cleaning/passivation). Confirm and delete this note.</t>
        </r>
      </text>
    </comment>
    <comment ref="H38" authorId="0" shapeId="0" xr:uid="{00000000-0006-0000-0000-000003000000}">
      <text>
        <r>
          <rPr>
            <sz val="10"/>
            <rFont val="Arial"/>
            <family val="2"/>
          </rPr>
          <t>ДЛЯ ЗАКУПОК — проверить единицы: остаточный гидразин в питательной воде обычно нормируется в мкг/кг (ppb), напр. 20–60 мкг/кг. 50 ppm = 50 мг/кг, это в 1000 раз больше и резко изменит расчётное количество. Уточнить у технолога (ppm или ppb) и удалить примечание.
FOR PROCUREMENT — check units: residual hydrazine in feedwater is normally specified in µg/kg (ppb), e.g. 20–60 µg/kg. 50 ppm = 50 mg/kg, 1000× higher, which changes the calculated quantity drastically. Confirm ppm vs ppb with the process engineer and delete this note.</t>
        </r>
      </text>
    </comment>
  </commentList>
</comments>
</file>

<file path=xl/sharedStrings.xml><?xml version="1.0" encoding="utf-8"?>
<sst xmlns="http://schemas.openxmlformats.org/spreadsheetml/2006/main" count="393" uniqueCount="274">
  <si>
    <t>ЗАПРОС ЦЕНОВОГО ПРЕДЛОЖЕНИЯ — химические реагенты для водоподготовки, Устюртский ГХК</t>
  </si>
  <si>
    <t>REQUEST FOR QUOTATION — water treatment chemicals, Ustyurt GCC</t>
  </si>
  <si>
    <t>Основание: Техническое задание на закупку химических реагентов для установки очистки сырой воды, системы оборотной воды (градирня), установки подготовки котловой питательной воды и установки очистки сточных вод для повторного использования (2027 г.)
Basis: Technical requirements for purchase of chemicals for raw water treatment unit, recirculating cooling water system (cooling tower), boiler feed water unit and waste water reuse unit (2027)</t>
  </si>
  <si>
    <t>Заполняет Заказчик / Filled by Customer</t>
  </si>
  <si>
    <t>Заполняет участник / Filled by Bidder</t>
  </si>
  <si>
    <t>Условные обозначения / Legend</t>
  </si>
  <si>
    <t>№ запроса / RFQ No.</t>
  </si>
  <si>
    <t>Наименование участника / Bidder name</t>
  </si>
  <si>
    <t>Заполняет участник / To be filled by Bidder</t>
  </si>
  <si>
    <t>Дата запроса / RFQ date</t>
  </si>
  <si>
    <t>Страна, адрес / Country, address</t>
  </si>
  <si>
    <t>Заполняет Заказчик перед отправкой / Filled by Customer before sending</t>
  </si>
  <si>
    <t>Срок подачи предложения / Submission deadline</t>
  </si>
  <si>
    <t>Контактное лицо, тел., e-mail / Contact person, phone, e-mail</t>
  </si>
  <si>
    <t>Без заливки — данные ТЗ, не изменять / No fill — TZ data, do not change</t>
  </si>
  <si>
    <t>Контакт Заказчика / Customer contact</t>
  </si>
  <si>
    <t>Дата предложения / Quotation date</t>
  </si>
  <si>
    <t>Пример заполнения (не входит в итог) / Example row (excluded from total)</t>
  </si>
  <si>
    <t>Срок действия предложения, дней / Quotation validity, days</t>
  </si>
  <si>
    <t>Предв. расчёт Заказчика, лист 4 / Customer's prelim. estimate, sheet 4</t>
  </si>
  <si>
    <t>Валюта / Currency</t>
  </si>
  <si>
    <t>Базис поставки / Delivery basis</t>
  </si>
  <si>
    <t>НДС включён в цену / VAT included in price</t>
  </si>
  <si>
    <t>ДАННЫЕ ТЕХНИЧЕСКОГО ЗАДАНИЯ / TECHNICAL REQUIREMENTS DATA</t>
  </si>
  <si>
    <t>ЗАПОЛНЯЕТ УЧАСТНИК / TO BE FILLED BY BIDDER</t>
  </si>
  <si>
    <t>№
No.</t>
  </si>
  <si>
    <t>Наименование (RU)</t>
  </si>
  <si>
    <t>Item name (EN)</t>
  </si>
  <si>
    <t>Система / установка
System / unit</t>
  </si>
  <si>
    <t>Назначение и требования
Purpose and requirements</t>
  </si>
  <si>
    <t>Агрегатное состояние
Physical state</t>
  </si>
  <si>
    <t>Период потребления
Consumption period</t>
  </si>
  <si>
    <t>Исходные данные для расчёта количества
Basis for quantity calculation</t>
  </si>
  <si>
    <t>Ед. изм.
Unit</t>
  </si>
  <si>
    <t>Количество по ТЗ
Quantity per TZ</t>
  </si>
  <si>
    <t>Торговое наименование
Trade name</t>
  </si>
  <si>
    <t>Производитель, страна происхождения
Manufacturer, country of origin</t>
  </si>
  <si>
    <t>Предлагаемая дозировка (ppm, г/м³)
Proposed dosage (ppm, g/m³)</t>
  </si>
  <si>
    <t>Предлагаемое количество
Offered quantity
(см. лист 4 / see sheet 4)</t>
  </si>
  <si>
    <t>Цена за ед.
Unit price</t>
  </si>
  <si>
    <t>Сумма
Total amount</t>
  </si>
  <si>
    <t>Упаковка
Packaging</t>
  </si>
  <si>
    <t>Срок поставки, дней
Lead time, days</t>
  </si>
  <si>
    <t>Срок годности, мес.
Shelf life, months</t>
  </si>
  <si>
    <t>Примечания участника
Bidder remarks</t>
  </si>
  <si>
    <t>0</t>
  </si>
  <si>
    <t>Пример заполнения</t>
  </si>
  <si>
    <t>Example of completion</t>
  </si>
  <si>
    <t>XYZ-1234</t>
  </si>
  <si>
    <t>Компания X, Германия
Company X, Germany</t>
  </si>
  <si>
    <t>3 ppm</t>
  </si>
  <si>
    <t>Еврокуб 1 м³
IBC 1 m³</t>
  </si>
  <si>
    <t>—</t>
  </si>
  <si>
    <t>А. УСТАНОВКА ОЧИСТКИ СЫРОЙ ВОДЫ И УСТАНОВКА ОЧИСТКИ СТОЧНЫХ ВОД ДЛЯ ПОВТОРНОГО ИСПОЛЬЗОВАНИЯ  /  A. RAW WATER TREATMENT UNIT AND WASTE WATER REUSE UNIT</t>
  </si>
  <si>
    <t>1</t>
  </si>
  <si>
    <t>Антискалант для мембран обратного осмоса</t>
  </si>
  <si>
    <t>Antiscalant for reverse osmosis membranes</t>
  </si>
  <si>
    <t>Установка очистки сырой воды и установка очистки сточных вод — обратный осмос
Raw water treatment unit and waste water reuse unit — reverse osmosis</t>
  </si>
  <si>
    <t>Предотвращение солеотложений на мембранах ОО. Не должен повреждать полиамидные мембраны, вызывать коррозию или повреждение компонентов системы.
Prevention of scale on RO membranes. Must not damage polyamide membranes or cause corrosion/damage to system components.</t>
  </si>
  <si>
    <t>Жидкость
Liquid</t>
  </si>
  <si>
    <t>7 месяцев
7 months</t>
  </si>
  <si>
    <t>Месячный расход воды: 452 600 т. Дозируется в зависимости от содержания органического фосфата (прил. 1.1, 1.2)
Monthly water flow: 452,600 t. Dosed based on organic phosphate content (App. 1.1, 1.2)</t>
  </si>
  <si>
    <t>кг
kg</t>
  </si>
  <si>
    <t>Расчёт участника
Calculated by bidder</t>
  </si>
  <si>
    <t>2</t>
  </si>
  <si>
    <t>Бисульфит натрия 35% (NaHSO₃)</t>
  </si>
  <si>
    <t>Sodium bisulfite 35% solution (NaHSO₃)</t>
  </si>
  <si>
    <t>Дехлорирование воды перед мембранами ОО. Не должен повреждать полиамидные мембраны, вызывать коррозию или повреждение компонентов системы.
Dechlorination of water upstream of RO membranes. Must not damage polyamide membranes or cause corrosion/damage to system components.</t>
  </si>
  <si>
    <t>Фиксированное количество
Fixed quantity</t>
  </si>
  <si>
    <t>Количество установлено ТЗ
Quantity set by the TZ</t>
  </si>
  <si>
    <t>3</t>
  </si>
  <si>
    <t>Кислотный очиститель мембран</t>
  </si>
  <si>
    <t>Acid membrane cleaner</t>
  </si>
  <si>
    <t>Удаление карбонатных, оксидных и др. минеральных отложений. Не должен повреждать полиамидные мембраны, вызывать коррозию или повреждение компонентов системы.
Removal of carbonate, oxide and other mineral deposits. Must not damage polyamide membranes or cause corrosion/damage to system components.</t>
  </si>
  <si>
    <t>3 квартала
3 quarters</t>
  </si>
  <si>
    <t>Расчёт по формуле прил. 1.1, 1.2
Calculated per formula in App. 1.1, 1.2</t>
  </si>
  <si>
    <t>4</t>
  </si>
  <si>
    <t>Щелочной очиститель мембран</t>
  </si>
  <si>
    <t>Alkaline membrane cleaner</t>
  </si>
  <si>
    <t>Удаление органических загрязнений, биоплёнок и коллоидных отложений. Не должен повреждать полиамидные мембраны, вызывать коррозию или повреждение компонентов системы.
Removal of organic foulants, biofilms and colloidal deposits. Must not damage polyamide membranes or cause corrosion/damage to system components.</t>
  </si>
  <si>
    <t>5</t>
  </si>
  <si>
    <t>Неокисляющий биоцид для осветлителей</t>
  </si>
  <si>
    <t>Non-oxidizing biocide for clarifiers</t>
  </si>
  <si>
    <t>Установка очистки сырой воды — осветлители
Raw water treatment unit — clarifiers</t>
  </si>
  <si>
    <t>Контроль микробиологического обрастания в осветлителях. Совместимость со сталью, медью, алюминием, полимерами; не вызывать коррозию и повреждения.
Control of microbiological fouling in clarifiers. Compatible with steel, copper, aluminium, polymers; no corrosion or damage.</t>
  </si>
  <si>
    <t>Объём воды в системе: 9 200 м³
System water volume: 9,200 m³</t>
  </si>
  <si>
    <t>Б. СИСТЕМА ОБОРОТНОЙ ВОДЫ (ГРАДИРНЯ)  /  B. RECIRCULATING COOLING WATER SYSTEM (COOLING TOWER)</t>
  </si>
  <si>
    <t>6</t>
  </si>
  <si>
    <t>Антискалант для оборотной воды (градирня)</t>
  </si>
  <si>
    <t>Antiscalant for recirculating cooling water (cooling tower)</t>
  </si>
  <si>
    <t>Система оборотной воды (градирня)
Recirculating cooling water system (cooling tower)</t>
  </si>
  <si>
    <t>Предотвращение накипи и минеральных отложений. Совместимость со сталью, медью, алюминием, полимерами; не вызывать коррозию и повреждения.
Prevention of scale and mineral deposits. Compatible with steel, copper, aluminium, polymers; no corrosion or damage.</t>
  </si>
  <si>
    <t>9 месяцев
9 months</t>
  </si>
  <si>
    <t>Месячный расход воды: 102 200 т. Содержание органического фосфата (Org-PO₄) в оборотной воде — 2,5 ppm (прил. 1.3)
Monthly water flow: 102,200 t. Organic phosphate (Org-PO₄) in circulating water — 2.5 ppm (App. 1.3)</t>
  </si>
  <si>
    <t>7</t>
  </si>
  <si>
    <t>Неокисляющий биоцид для градирни</t>
  </si>
  <si>
    <t>Non-oxidizing biocide for cooling tower</t>
  </si>
  <si>
    <t>Контроль микробиологического обрастания в системе оборотной воды. Совместимость со сталью, медью, алюминием, полимерами; не вызывать коррозию и повреждения.
Control of microbiological fouling in the cooling water system. Compatible with steel, copper, aluminium, polymers; no corrosion or damage.</t>
  </si>
  <si>
    <t>Объём воды в системе: 35 000 м³
System water volume: 35,000 m³</t>
  </si>
  <si>
    <t>8</t>
  </si>
  <si>
    <t>Химические реагенты для очистки и пассивации системы оборотной воды</t>
  </si>
  <si>
    <t>Chemicals for cleaning and passivation of the recirculating cooling water system</t>
  </si>
  <si>
    <t>Участник указывает состав комплекта по строкам 8.1–8.3. Не подлежат апробации. Совместимость со сталью, медью, алюминием, полимерами; не вызывать коррозию и повреждения.
Bidder to list the set in lines 8.1–8.3. Excluded from trial testing. Compatible with steel, copper, aluminium, polymers; no corrosion or damage.</t>
  </si>
  <si>
    <t>см. строки ниже / see lines below</t>
  </si>
  <si>
    <t>8.1</t>
  </si>
  <si>
    <t>Реагент для очистки системы перед остановкой завода</t>
  </si>
  <si>
    <t>Chemical for system cleaning prior to plant shutdown</t>
  </si>
  <si>
    <t>Очистка системы оборотной воды
Cleaning of the cooling water system</t>
  </si>
  <si>
    <t>Количество определяет поставщик
Quantity defined by supplier</t>
  </si>
  <si>
    <t>8.2</t>
  </si>
  <si>
    <t>Реагент для очистки системы перед пассивацией</t>
  </si>
  <si>
    <t>Chemical for system cleaning prior to passivation</t>
  </si>
  <si>
    <t>Предпассивационная очистка
Pre-passivation cleaning</t>
  </si>
  <si>
    <t>8.3</t>
  </si>
  <si>
    <t>Реагент для пассивации системы оборотной воды</t>
  </si>
  <si>
    <t>Passivation chemical for the cooling water system</t>
  </si>
  <si>
    <t>Пассивация системы оборотной воды
Passivation of the cooling water system</t>
  </si>
  <si>
    <t>9</t>
  </si>
  <si>
    <t>Купоны коррозии</t>
  </si>
  <si>
    <t>Corrosion coupons</t>
  </si>
  <si>
    <t>Контроль коррозии на градирне при пассивации и нормальной эксплуатации
Corrosion monitoring on the cooling tower during passivation and normal operation</t>
  </si>
  <si>
    <t>Твёрдое
Solid</t>
  </si>
  <si>
    <t>Размер 63 × 13 × 2 мм (прил. 3)
Size 63 × 13 × 2 mm (App. 3)</t>
  </si>
  <si>
    <t>9.1</t>
  </si>
  <si>
    <t>Купон коррозии — медь</t>
  </si>
  <si>
    <t>Corrosion coupon — copper</t>
  </si>
  <si>
    <t>63 × 13 × 2 мм / mm</t>
  </si>
  <si>
    <t>шт.
pcs</t>
  </si>
  <si>
    <t>9.2</t>
  </si>
  <si>
    <t>Купон коррозии — мягкая углеродистая сталь ASTM A36</t>
  </si>
  <si>
    <t>Corrosion coupon — mild carbon steel ASTM A36</t>
  </si>
  <si>
    <t>9.3</t>
  </si>
  <si>
    <t>Купон коррозии — нержавеющая сталь</t>
  </si>
  <si>
    <t>Corrosion coupon — stainless steel</t>
  </si>
  <si>
    <t>9.4</t>
  </si>
  <si>
    <t>Купон коррозии — адмиралтейская латунь</t>
  </si>
  <si>
    <t>Corrosion coupon — admiralty brass</t>
  </si>
  <si>
    <t>В. УСТАНОВКА ПОДГОТОВКИ КОТЛОВОЙ ПИТАТЕЛЬНОЙ ВОДЫ  /  C. BOILER FEED WATER TREATMENT UNIT</t>
  </si>
  <si>
    <t>10</t>
  </si>
  <si>
    <t>Амин</t>
  </si>
  <si>
    <t>Amine</t>
  </si>
  <si>
    <t>Котловая питательная вода
Boiler feed water</t>
  </si>
  <si>
    <t>Контроль уровня pH. Не вызывать коррозию или повреждение компонентов системы.
pH control. Shall not cause corrosion or damage to system components.</t>
  </si>
  <si>
    <t>13 месяцев
13 months</t>
  </si>
  <si>
    <t>Месячный расход воды: 357 700 т. Дозируется по уровню pH; требуемый pH — 9,5 (прил. 1.4)
Monthly water flow: 357,700 t. Dosed by pH; required pH — 9.5 (App. 1.4)</t>
  </si>
  <si>
    <t>11</t>
  </si>
  <si>
    <t>Поглотитель кислорода</t>
  </si>
  <si>
    <t>Oxygen scavenger</t>
  </si>
  <si>
    <t>Удаление растворённого кислорода для предотвращения кислородной коррозии.
Removal of dissolved oxygen to prevent oxygen corrosion.</t>
  </si>
  <si>
    <t>8 месяцев
8 months</t>
  </si>
  <si>
    <t>Месячный расход воды: 357 700 т. Дозируется по содержанию гидразина; норма — 50 ppm (прил. 1.4)
Monthly water flow: 357,700 t. Dosed by hydrazine content; target — 50 ppm (App. 1.4)</t>
  </si>
  <si>
    <t>12</t>
  </si>
  <si>
    <t>Тринатрийфосфат</t>
  </si>
  <si>
    <t>Trisodium phosphate</t>
  </si>
  <si>
    <t>Ингибитор коррозии. Не вызывать коррозию или повреждение компонентов системы.
Corrosion inhibitor. Shall not cause corrosion or damage to system components.</t>
  </si>
  <si>
    <t>Дозируется по содержанию фосфата (прил. 1.4); расчёт по строкам 12.1–12.2
Dosed by phosphate content (App. 1.4); calculate per lines 12.1–12.2</t>
  </si>
  <si>
    <t>12.1</t>
  </si>
  <si>
    <t>Тринатрийфосфат — котлы и котлы-утилизаторы</t>
  </si>
  <si>
    <t>Trisodium phosphate — boilers and waste heat recovery units</t>
  </si>
  <si>
    <t>Месячный расход воды: 193 450 т; содержание фосфата — 15 ppm
Monthly water flow: 193,450 t; phosphate content — 15 ppm</t>
  </si>
  <si>
    <t>12.2</t>
  </si>
  <si>
    <t>Тринатрийфосфат — печи пиролиза</t>
  </si>
  <si>
    <t>Trisodium phosphate — pyrolysis furnaces</t>
  </si>
  <si>
    <t>Месячный расход воды: 153 300 т; содержание фосфата — 3 ppm
Monthly water flow: 153,300 t; phosphate content — 3 ppm</t>
  </si>
  <si>
    <t>Г. УСЛУГИ  /  D. SERVICES</t>
  </si>
  <si>
    <t>13</t>
  </si>
  <si>
    <t>Сервисные услуги по очистке и пассивации системы оборотной воды</t>
  </si>
  <si>
    <t>Cleaning and passivation service for the recirculating cooling water system</t>
  </si>
  <si>
    <t>Выполнение работ, анализы, регулярный контроль; тех. аудит и отчёты; реагирование на претензии; гарантия на результат пассивации; проверка купонов; акт выполненных работ
Execution of works, analyses, monitoring; technical audits and reports; response to claims; warranty on passivation results; coupon verification; act of completed works</t>
  </si>
  <si>
    <t>услуга
lot</t>
  </si>
  <si>
    <t>14</t>
  </si>
  <si>
    <t>Лабораторный анализ купонов коррозии (ежеквартально)</t>
  </si>
  <si>
    <t>Laboratory analysis of corrosion coupons (quarterly)</t>
  </si>
  <si>
    <t>Визуальный осмотр, потеря массы, электронная микроскопия; скорость и вид коррозии; отчёт с графиками, фото, рекомендациями. Доставка купонов туда и обратно — за счёт поставщика
Visual inspection, mass loss, electron microscopy; corrosion rate and type; report with graphs, photos, recommendations. Two-way coupon shipping at supplier's expense</t>
  </si>
  <si>
    <t>1 год (4 раза)
1 year (4 times)</t>
  </si>
  <si>
    <t>Не реже 1 раза в квартал
At least once per quarter</t>
  </si>
  <si>
    <t>анализ
analysis</t>
  </si>
  <si>
    <t>15</t>
  </si>
  <si>
    <t>Апробация реагентов на площадке Заказчика (1 представитель)</t>
  </si>
  <si>
    <t>Trial testing of chemicals at Customer's site (1 representative)</t>
  </si>
  <si>
    <t>Все установки
All units</t>
  </si>
  <si>
    <t>Все реагенты, кроме реагентов для пассивации. При положительном результате Заказчик оплачивает апробированное количество. Если стоимость включена в цены реагентов — указать «включено»
All chemicals except passivation chemicals. If positive, Customer pays for the tested quantity. If cost is included in chemical prices — state "included"</t>
  </si>
  <si>
    <t>До 3 месяцев
Up to 3 months</t>
  </si>
  <si>
    <t>16</t>
  </si>
  <si>
    <t>Консультации при аварийных ситуациях и выезд специалиста на завод</t>
  </si>
  <si>
    <t>Emergency troubleshooting advice and specialist visit to the plant</t>
  </si>
  <si>
    <t>Указать цену одного выезда или «включено»
State price per visit or "included"</t>
  </si>
  <si>
    <t>По необходимости
As required</t>
  </si>
  <si>
    <t>выезд
visit</t>
  </si>
  <si>
    <t>ИТОГО / TOTAL (без учёта строки-примера / excluding example row)</t>
  </si>
  <si>
    <t>Примечания / Notes:</t>
  </si>
  <si>
    <t>1. Количество реагентов, кроме бисульфита натрия и купонов, рассчитывает участник по своей программе дозирования на основании данных столбца «Исходные данные». Столбец «Предлагаемое количество» предварительно заполнен оценкой Заказчика (лист 4); участник подтверждает её или заменяет своим расчётом. Программу дозирования и расчёт приложить к предложению.
Quantities of all chemicals except sodium bisulfite and coupons are calculated by the bidder using its dosing program and the data in the "Basis" column. The "Offered quantity" column is prefilled with the Customer's preliminary estimate (sheet 4); the bidder confirms it or replaces it with its own calculation. Attach the dosing program and calculation to the quotation.</t>
  </si>
  <si>
    <t>2. Цены включают упаковку (еврокубы 1 м³, невозвратные), маркировку и доставку на указанном базисе поставки. Местные участники: доставка до УГХК, Кырккыз, Кунградский р-н, Республика Каракалпакстан (без таможенных пошлин и налогов). Иностранные участники: DAP Акчалак (Инкотермс 2010).
Prices include packaging (IBC 1 m³, non-returnable), marking and delivery on the stated basis. Local bidders: delivery to UGCC, Kyrkkyz, Kungrad district, Republic of Karakalpakstan (free of customs duties and taxes). Foreign bidders: DAP Akchalak (Incoterms 2010).</t>
  </si>
  <si>
    <t>3. Максимальный срок поставки — 90 дней после заключения контракта. Оплата — 100% по факту поставки.
Maximum delivery period — 90 days after contract signing. Payment — 100% upon receipt of goods.</t>
  </si>
  <si>
    <t>4. Технические и коммерческие требования — лист «2. Условия - Terms»; перечень документов — лист «3. Документы - Documents». Приложения 1.1–1.4, 2.1–2.4, 3 и 4 к ТЗ прилагаются к запросу.
Technical and commercial requirements — sheet "2. Условия - Terms"; required documents — sheet "3. Документы - Documents". Appendices 1.1–1.4, 2.1–2.4, 3 and 4 of the TZ are attached to this request.</t>
  </si>
  <si>
    <t>ТЕХНИЧЕСКИЕ И КОММЕРЧЕСКИЕ ТРЕБОВАНИЯ — подтверждение участника</t>
  </si>
  <si>
    <t>TECHNICAL AND COMMERCIAL REQUIREMENTS — bidder's confirmation</t>
  </si>
  <si>
    <t>Участник подтверждает каждое требование («Да / Yes») или указывает отклонение в комментарии.
The bidder confirms each requirement ("Да / Yes") or states any deviation in the comment.</t>
  </si>
  <si>
    <t>Требование (RU)</t>
  </si>
  <si>
    <t>Requirement (EN)</t>
  </si>
  <si>
    <t>Раздел ТЗ
TZ section</t>
  </si>
  <si>
    <t>Подтверждение участника
Bidder confirmation</t>
  </si>
  <si>
    <t>Комментарий / отклонение
Comment / deviation</t>
  </si>
  <si>
    <t>1. Поставка и оплата / Delivery and payment</t>
  </si>
  <si>
    <t>Местные участники: доставка до УГХК, Кырккыз, Кунградский район, Республика Каракалпакстан, Узбекистан; товар свободен от таможенных пошлин и налогов.</t>
  </si>
  <si>
    <t>Local bidders: delivery to UGCC, Kyrkkyz, Kungrad district, Republic of Karakalpakstan, Uzbekistan; goods free of customs duties and taxes.</t>
  </si>
  <si>
    <t>Иностранные участники: DAP Акчалак, Кунградский район, Республика Каракалпакстан, Узбекистан (Инкотермс 2010).</t>
  </si>
  <si>
    <t>Foreign bidders: DAP Akchalak, Kungrad district, Republic of Karakalpakstan, Uzbekistan (Incoterms 2010).</t>
  </si>
  <si>
    <t>Максимальный срок поставки — 90 дней после заключения контракта.</t>
  </si>
  <si>
    <t>Maximum delivery period — 90 days after contract signing.</t>
  </si>
  <si>
    <t>График поставок и объём каждой партии определяются при подписании контракта, могут корректироваться по фактическому темпу производства; каждая партия поставляется в точно согласованную дату.</t>
  </si>
  <si>
    <t>Delivery schedule and batch quantities are set at contract signing and may be adjusted to the actual production rate; each batch is delivered on the exact agreed date.</t>
  </si>
  <si>
    <t>Условие оплаты — 100% оплата по факту поставки.</t>
  </si>
  <si>
    <t>Payment terms — 100% payment upon receipt of goods.</t>
  </si>
  <si>
    <t>2. Упаковка и маркировка / Packing and marking</t>
  </si>
  <si>
    <t>Стандартная экспортная упаковка изготовителя, обеспечивающая полную сохранность при длительном хранении и перевозке с несколькими перегрузками.</t>
  </si>
  <si>
    <t>Manufacturer's standard export packing ensuring full protection during long storage and transport with several transshipments.</t>
  </si>
  <si>
    <t>Товар поставляется в еврокубах (1 м³); еврокубы не подлежат возврату. Размеры — приложение № 4.</t>
  </si>
  <si>
    <t>Goods supplied in IBC containers (1 m³); IBCs are non-returnable. Dimensions — Appendix No. 4.</t>
  </si>
  <si>
    <t>Маркировка наносится на каждый поддон в соответствии с международными стандартами.</t>
  </si>
  <si>
    <t>Marking applied to each pallet in accordance with international standards.</t>
  </si>
  <si>
    <t>Этикетка на каждой единице тары: наименование изготовителя; наименование продукта и эмпирическая формула; квалификация реактива; масса нетто или брутто; номер партии; дата выпуска (месяц, год).</t>
  </si>
  <si>
    <t>Label on each package: manufacturer name; product name and empirical formula; reagent grade; net or gross weight; batch number; date of manufacture (month, year).</t>
  </si>
  <si>
    <t>Остаточный срок годности чётко обозначен на упаковке; упаковка обеспечивает сохранность в течение всего срока хранения.</t>
  </si>
  <si>
    <t>Residual shelf life clearly marked on packaging; packaging ensures integrity throughout the shelf life.</t>
  </si>
  <si>
    <t>3. Качество, сроки годности, совместимость / Quality, shelf life, compatibility</t>
  </si>
  <si>
    <t>Товар новый, ранее не использованный.</t>
  </si>
  <si>
    <t>Goods are new and unused.</t>
  </si>
  <si>
    <t>Срок годности — не менее 2 лет с даты производства.</t>
  </si>
  <si>
    <t>Shelf life — at least 2 years from date of manufacture.</t>
  </si>
  <si>
    <t>Остаточный срок годности при поставке — не менее 75% от общего срока годности.</t>
  </si>
  <si>
    <t>Residual shelf life at delivery — at least 75% of total shelf life.</t>
  </si>
  <si>
    <t>Товар произведён не более чем за 2 месяца до даты отгрузки.</t>
  </si>
  <si>
    <t>Goods manufactured no more than 2 months before the shipment date.</t>
  </si>
  <si>
    <t>Отсутствие токсичных, канцерогенных и иных опасных примесей сверх допустимых норм; отсутствие изменений физических свойств в течение срока годности.</t>
  </si>
  <si>
    <t>No toxic, carcinogenic or other hazardous impurities above permissible limits; no change in physical properties during shelf life.</t>
  </si>
  <si>
    <t>Совместимость с существующими системами и материалами оборудования (сталь, медь, алюминий, полимеры и др.); реагенты не вызывают коррозию или повреждение компонентов системы.</t>
  </si>
  <si>
    <t>Compatibility with existing systems and equipment materials (steel, copper, aluminium, polymers, etc.); chemicals do not cause corrosion or damage to system components.</t>
  </si>
  <si>
    <t>Реагенты для систем обратного осмоса не повреждают полиамидные мембраны.</t>
  </si>
  <si>
    <t>Reverse osmosis chemicals do not damage polyamide membranes.</t>
  </si>
  <si>
    <t>Участник или производитель имеет хотя бы один из документов: ГОСТ или ISO 9001/14001; стандарт организации; сертификат соответствия; регламент REACH; иные документы в области контроля качества.</t>
  </si>
  <si>
    <t>Bidder or manufacturer holds at least one of: GOST or ISO 9001/14001; organization standard; certificate of conformity; REACH registration; other quality control documents.</t>
  </si>
  <si>
    <t>4. Апробация / Trial testing</t>
  </si>
  <si>
    <t>Победитель проводит апробацию всех реагентов (кроме реагентов для пассивации) на площадке Заказчика с участием 1 представителя в течение 3 месяцев.</t>
  </si>
  <si>
    <t>The winner conducts trial testing of all chemicals (except passivation chemicals) at the Customer's site with 1 representative within 3 months.</t>
  </si>
  <si>
    <t>При положительном результате Заказчик оплачивает апробированное количество и заключает контракт на остальную часть; при отрицательном — оплата не производится, контракт не заключается.</t>
  </si>
  <si>
    <t>If positive, the Customer pays for the tested quantity and signs a contract for the remainder; if negative, no payment is made and no contract is signed.</t>
  </si>
  <si>
    <t>При сбоях, нарушениях техпроцесса, повреждении оборудования в период апробации поставщик в полном объёме возмещает ущерб и за свой счёт устраняет последствия.</t>
  </si>
  <si>
    <t>In case of failures, process disruptions or equipment damage during the trial, the supplier fully compensates losses and rectifies consequences at its own expense.</t>
  </si>
  <si>
    <t>5. Программа дозирования / Dosing program</t>
  </si>
  <si>
    <t>Программа дозирования по каждому реагенту: рекомендуемые нормы расхода, способы применения, условия эксплуатации, рабочие концентрации.</t>
  </si>
  <si>
    <t>Dosing program for each chemical: recommended dosage rates, application methods, operating conditions, working concentrations.</t>
  </si>
  <si>
    <t>12.4</t>
  </si>
  <si>
    <t>Если фактическая дозировка для достижения требуемых показателей отличается от заявленной — поставщик корректирует нормы и за свой счёт поставляет недостающий объём реагентов.</t>
  </si>
  <si>
    <t>If the actual dosage needed to reach the required performance differs from the proposed one, the supplier adjusts the rates and supplies the shortfall at its own expense.</t>
  </si>
  <si>
    <t>6. Сервис / Service</t>
  </si>
  <si>
    <t>Поставка купонов коррозии (медь, углеродистая сталь, нержавеющая сталь, адмиралтейская латунь) для градирни — при пассивации и нормальной эксплуатации.</t>
  </si>
  <si>
    <t>Supply of corrosion coupons (copper, carbon steel, stainless steel, admiralty brass) for the cooling tower — during passivation and normal operation.</t>
  </si>
  <si>
    <t>Лабораторный анализ купонов не реже 1 раза в квартал (4 раза в год): визуальный осмотр, потеря массы, электронная микроскопия; скорость коррозии, вид коррозии, изменение массы.</t>
  </si>
  <si>
    <t>Laboratory analysis of coupons at least quarterly (4 times a year): visual inspection, mass loss, electron microscopy; corrosion rate, corrosion type, mass change.</t>
  </si>
  <si>
    <t>Отчётность по купонам: оценка (пределы коррозии, уровень повреждения); детальные отчёты с графиками, таблицами, фото до и после; рекомендации по снижению коррозии.</t>
  </si>
  <si>
    <t>Coupon reporting: evaluation (corrosion limits, damage level); detailed reports with graphs, tables, before/after photos; corrosion mitigation recommendations.</t>
  </si>
  <si>
    <t>Отправка купонов на анализ и их возврат на УГХК — за счёт поставщика.</t>
  </si>
  <si>
    <t>Shipping of coupons for analysis and return to UGCC — at the supplier's expense.</t>
  </si>
  <si>
    <t>Консультирование по устранению неполадок в чрезвычайных ситуациях и, при необходимости, выезд квалифицированного специалиста на завод.</t>
  </si>
  <si>
    <t>Emergency troubleshooting advice and, if necessary, a visit by a qualified specialist to the plant.</t>
  </si>
  <si>
    <t>12.3</t>
  </si>
  <si>
    <t>Сервис по очистке и пассивации системы оборотной воды: выполнение работ и анализов, регулярный контроль; технический аудит и отчёты; реагирование на претензии в установленные сроки; гарантия на результат пассивации; проверка купонов; подписание акта выполненных работ.</t>
  </si>
  <si>
    <t>Cleaning and passivation service: execution of works and analyses, regular monitoring; technical audits and reports; response to claims within set deadlines; warranty on passivation results; coupon verification; signing of the act of completed works.</t>
  </si>
  <si>
    <t>12.6</t>
  </si>
  <si>
    <t>7. Гарантийные обязательства / Warranty obligations</t>
  </si>
  <si>
    <t>При выявлении недостатков или несоответствия качества: возмещение ущерба и восстановительные работы за свой счёт; замена реагентов в согласованные сроки; техническая поддержка; устранение недостатков и последствий за свой счёт.</t>
  </si>
  <si>
    <t>In case of defects or non-conforming quality: compensation and restoration works at own expense; replacement of chemicals within agreed time; technical support; rectification of defects and consequences at own expense.</t>
  </si>
  <si>
    <t>Предоставление участником ложных сведений, поддельных документов либо иных недостоверных данных является основанием для его немедленной дисквалификации.
The submission of false information, forged documents or any other inaccurate data by a bidder constitutes grounds for immediate disqualification.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</si>
</sst>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12" x14ac:knownFonts="1">
    <font>
      <sz val="11"/>
      <color theme="1"/>
      <name val="Calibri"/>
      <family val="2"/>
      <charset val="1"/>
    </font>
    <font>
      <b/>
      <sz val="14"/>
      <color rgb="FF1F3864"/>
      <name val="Arial"/>
      <charset val="1"/>
    </font>
    <font>
      <b/>
      <sz val="11"/>
      <color rgb="FF1F3864"/>
      <name val="Arial"/>
      <charset val="1"/>
    </font>
    <font>
      <i/>
      <sz val="9"/>
      <color rgb="FF404040"/>
      <name val="Arial"/>
      <charset val="1"/>
    </font>
    <font>
      <b/>
      <sz val="9"/>
      <name val="Arial"/>
      <charset val="1"/>
    </font>
    <font>
      <sz val="9"/>
      <name val="Arial"/>
      <charset val="1"/>
    </font>
    <font>
      <b/>
      <sz val="9"/>
      <color rgb="FFFFFFFF"/>
      <name val="Arial"/>
      <charset val="1"/>
    </font>
    <font>
      <i/>
      <sz val="9"/>
      <color rgb="FF7F7F7F"/>
      <name val="Arial"/>
      <charset val="1"/>
    </font>
    <font>
      <b/>
      <sz val="10"/>
      <color rgb="FF1F3864"/>
      <name val="Arial"/>
      <charset val="1"/>
    </font>
    <font>
      <sz val="9"/>
      <color rgb="FF008000"/>
      <name val="Arial"/>
      <charset val="1"/>
    </font>
    <font>
      <sz val="10"/>
      <name val="Arial"/>
      <family val="2"/>
    </font>
    <font>
      <b/>
      <sz val="9"/>
      <color rgb="FFC00000"/>
      <name val="Arial"/>
      <charset val="1"/>
    </font>
  </fonts>
  <fills count="10">
    <fill>
      <patternFill patternType="none"/>
    </fill>
    <fill>
      <patternFill patternType="gray125"/>
    </fill>
    <fill>
      <patternFill patternType="solid">
        <fgColor rgb="FFE2EFDA"/>
        <bgColor rgb="FFDDEBF7"/>
      </patternFill>
    </fill>
    <fill>
      <patternFill patternType="solid">
        <fgColor rgb="FFFFF2CC"/>
        <bgColor rgb="FFFCE4D6"/>
      </patternFill>
    </fill>
    <fill>
      <patternFill patternType="solid">
        <fgColor rgb="FFF2F2F2"/>
        <bgColor rgb="FFE2EFDA"/>
      </patternFill>
    </fill>
    <fill>
      <patternFill patternType="solid">
        <fgColor rgb="FFDDEBF7"/>
        <bgColor rgb="FFD9E1F2"/>
      </patternFill>
    </fill>
    <fill>
      <patternFill patternType="solid">
        <fgColor rgb="FF1F3864"/>
        <bgColor rgb="FF333399"/>
      </patternFill>
    </fill>
    <fill>
      <patternFill patternType="solid">
        <fgColor rgb="FFB07D00"/>
        <bgColor rgb="FFFF6600"/>
      </patternFill>
    </fill>
    <fill>
      <patternFill patternType="solid">
        <fgColor rgb="FFD9E1F2"/>
        <bgColor rgb="FFDDEBF7"/>
      </patternFill>
    </fill>
    <fill>
      <patternFill patternType="solid">
        <fgColor rgb="FFD9D9D9"/>
        <bgColor rgb="FFD9E1F2"/>
      </patternFill>
    </fill>
  </fills>
  <borders count="2">
    <border>
      <left/>
      <right/>
      <top/>
      <bottom/>
      <diagonal/>
    </border>
    <border>
      <left style="thin">
        <color rgb="FF8C8C8C"/>
      </left>
      <right style="thin">
        <color rgb="FF8C8C8C"/>
      </right>
      <top style="thin">
        <color rgb="FF8C8C8C"/>
      </top>
      <bottom style="thin">
        <color rgb="FF8C8C8C"/>
      </bottom>
      <diagonal/>
    </border>
  </borders>
  <cellStyleXfs count="1">
    <xf numFmtId="0" fontId="0" fillId="0" borderId="0"/>
  </cellStyleXfs>
  <cellXfs count="44">
    <xf numFmtId="0" fontId="0" fillId="0" borderId="0" xfId="0"/>
    <xf numFmtId="0" fontId="11" fillId="0" borderId="0" xfId="0" applyFont="1" applyAlignment="1">
      <alignment vertical="top" wrapText="1"/>
    </xf>
    <xf numFmtId="0" fontId="8" fillId="8" borderId="1" xfId="0" applyFont="1" applyFill="1" applyBorder="1"/>
    <xf numFmtId="0" fontId="5" fillId="0" borderId="0" xfId="0" applyFont="1" applyAlignment="1">
      <alignment vertical="top" wrapText="1"/>
    </xf>
    <xf numFmtId="0" fontId="4" fillId="0" borderId="0" xfId="0" applyFont="1" applyAlignment="1">
      <alignment vertical="top" wrapText="1"/>
    </xf>
    <xf numFmtId="0" fontId="4" fillId="9" borderId="1" xfId="0" applyFont="1" applyFill="1" applyBorder="1" applyAlignment="1">
      <alignment horizontal="right" vertical="center"/>
    </xf>
    <xf numFmtId="0" fontId="3" fillId="0" borderId="1" xfId="0" applyFont="1" applyBorder="1" applyAlignment="1">
      <alignment vertical="top"/>
    </xf>
    <xf numFmtId="0" fontId="8" fillId="8" borderId="1" xfId="0" applyFont="1" applyFill="1" applyBorder="1" applyAlignment="1">
      <alignment vertical="center"/>
    </xf>
    <xf numFmtId="0" fontId="6" fillId="7"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5" fillId="3" borderId="1" xfId="0" applyFont="1" applyFill="1" applyBorder="1"/>
    <xf numFmtId="0" fontId="5" fillId="2" borderId="1" xfId="0" applyFont="1" applyFill="1" applyBorder="1"/>
    <xf numFmtId="0" fontId="5" fillId="0" borderId="0" xfId="0" applyFont="1" applyAlignment="1">
      <alignment vertical="center" wrapText="1"/>
    </xf>
    <xf numFmtId="0" fontId="3" fillId="0" borderId="0" xfId="0" applyFont="1" applyAlignment="1">
      <alignment vertical="top" wrapText="1"/>
    </xf>
    <xf numFmtId="0" fontId="1" fillId="0" borderId="0" xfId="0" applyFont="1"/>
    <xf numFmtId="0" fontId="2" fillId="0" borderId="0" xfId="0" applyFont="1"/>
    <xf numFmtId="0" fontId="4" fillId="0" borderId="0" xfId="0" applyFont="1"/>
    <xf numFmtId="0" fontId="5" fillId="0" borderId="0" xfId="0" applyFont="1" applyAlignment="1">
      <alignment vertical="center" wrapText="1"/>
    </xf>
    <xf numFmtId="0" fontId="0" fillId="3" borderId="1" xfId="0" applyFill="1" applyBorder="1"/>
    <xf numFmtId="0" fontId="5" fillId="0" borderId="0" xfId="0" applyFont="1" applyAlignment="1">
      <alignment vertical="center"/>
    </xf>
    <xf numFmtId="0" fontId="0" fillId="2" borderId="1" xfId="0" applyFill="1" applyBorder="1"/>
    <xf numFmtId="0" fontId="0" fillId="0" borderId="1" xfId="0" applyBorder="1"/>
    <xf numFmtId="0" fontId="0" fillId="4" borderId="1" xfId="0" applyFill="1" applyBorder="1"/>
    <xf numFmtId="0" fontId="0" fillId="5" borderId="1" xfId="0" applyFill="1" applyBorder="1"/>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4" borderId="1" xfId="0" applyFont="1" applyFill="1" applyBorder="1" applyAlignment="1">
      <alignment horizontal="center" vertical="top" wrapText="1"/>
    </xf>
    <xf numFmtId="0" fontId="7" fillId="4" borderId="1" xfId="0" applyFont="1" applyFill="1" applyBorder="1" applyAlignment="1">
      <alignment vertical="top" wrapText="1"/>
    </xf>
    <xf numFmtId="164" fontId="7" fillId="4" borderId="1" xfId="0" applyNumberFormat="1" applyFont="1" applyFill="1" applyBorder="1" applyAlignment="1">
      <alignment vertical="top" wrapText="1"/>
    </xf>
    <xf numFmtId="165" fontId="7" fillId="4" borderId="1" xfId="0" applyNumberFormat="1" applyFont="1" applyFill="1" applyBorder="1" applyAlignment="1">
      <alignment vertical="top" wrapText="1"/>
    </xf>
    <xf numFmtId="0" fontId="5" fillId="0" borderId="1" xfId="0" applyFont="1" applyBorder="1" applyAlignment="1">
      <alignment horizontal="center" vertical="top" wrapText="1"/>
    </xf>
    <xf numFmtId="0" fontId="5" fillId="0" borderId="1" xfId="0" applyFont="1" applyBorder="1" applyAlignment="1">
      <alignment vertical="top" wrapText="1"/>
    </xf>
    <xf numFmtId="0" fontId="5" fillId="3" borderId="1" xfId="0" applyFont="1" applyFill="1" applyBorder="1" applyAlignment="1">
      <alignment vertical="top" wrapText="1"/>
    </xf>
    <xf numFmtId="164" fontId="9" fillId="5" borderId="1" xfId="0" applyNumberFormat="1" applyFont="1" applyFill="1" applyBorder="1" applyAlignment="1">
      <alignment horizontal="right" vertical="top"/>
    </xf>
    <xf numFmtId="165" fontId="5" fillId="3" borderId="1" xfId="0" applyNumberFormat="1" applyFont="1" applyFill="1" applyBorder="1" applyAlignment="1">
      <alignment horizontal="right" vertical="top"/>
    </xf>
    <xf numFmtId="165" fontId="4" fillId="0" borderId="1" xfId="0" applyNumberFormat="1" applyFont="1" applyBorder="1" applyAlignment="1">
      <alignment horizontal="right" vertical="top"/>
    </xf>
    <xf numFmtId="0" fontId="5" fillId="3" borderId="1" xfId="0" applyFont="1" applyFill="1" applyBorder="1" applyAlignment="1">
      <alignment horizontal="right" vertical="top"/>
    </xf>
    <xf numFmtId="164" fontId="5" fillId="0" borderId="1" xfId="0" applyNumberFormat="1" applyFont="1" applyBorder="1" applyAlignment="1">
      <alignment horizontal="center" vertical="top" wrapText="1"/>
    </xf>
    <xf numFmtId="164" fontId="5" fillId="0" borderId="1" xfId="0" applyNumberFormat="1" applyFont="1" applyBorder="1" applyAlignment="1">
      <alignment horizontal="right"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165" fontId="4" fillId="9" borderId="1" xfId="0" applyNumberFormat="1" applyFont="1" applyFill="1" applyBorder="1"/>
    <xf numFmtId="0" fontId="4" fillId="9" borderId="1" xfId="0" applyFont="1" applyFill="1" applyBorder="1"/>
    <xf numFmtId="0" fontId="5" fillId="3"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B07D00"/>
      <rgbColor rgb="FF800080"/>
      <rgbColor rgb="FF008080"/>
      <rgbColor rgb="FFD9E1F2"/>
      <rgbColor rgb="FF7F7F7F"/>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8C8C8C"/>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53"/>
  <sheetViews>
    <sheetView showGridLines="0" tabSelected="1" topLeftCell="A44" zoomScaleNormal="100" workbookViewId="0">
      <pane xSplit="3" topLeftCell="D1" activePane="topRight" state="frozen"/>
      <selection activeCell="A17" sqref="A17"/>
      <selection pane="topRight" activeCell="J46" sqref="A45:J46"/>
    </sheetView>
  </sheetViews>
  <sheetFormatPr defaultColWidth="8.6640625" defaultRowHeight="14.4" x14ac:dyDescent="0.3"/>
  <cols>
    <col min="1" max="1" width="6" customWidth="1"/>
    <col min="2" max="3" width="28" customWidth="1"/>
    <col min="4" max="4" width="26" customWidth="1"/>
    <col min="5" max="5" width="40" customWidth="1"/>
    <col min="6" max="6" width="11" customWidth="1"/>
    <col min="7" max="7" width="14" customWidth="1"/>
    <col min="8" max="8" width="36" customWidth="1"/>
    <col min="9" max="9" width="9" customWidth="1"/>
    <col min="10" max="10" width="13" customWidth="1"/>
    <col min="11" max="11" width="20" customWidth="1"/>
    <col min="12" max="12" width="24" customWidth="1"/>
    <col min="13" max="13" width="16" customWidth="1"/>
    <col min="14" max="14" width="15" customWidth="1"/>
    <col min="15" max="15" width="13" customWidth="1"/>
    <col min="16" max="16" width="15" customWidth="1"/>
    <col min="17" max="17" width="16" customWidth="1"/>
    <col min="18" max="19" width="11" customWidth="1"/>
    <col min="20" max="20" width="26" customWidth="1"/>
  </cols>
  <sheetData>
    <row r="1" spans="1:20" ht="17.399999999999999" x14ac:dyDescent="0.3">
      <c r="A1" s="14" t="s">
        <v>0</v>
      </c>
    </row>
    <row r="2" spans="1:20" x14ac:dyDescent="0.3">
      <c r="A2" s="15" t="s">
        <v>1</v>
      </c>
    </row>
    <row r="3" spans="1:20" ht="39.75" customHeight="1" x14ac:dyDescent="0.3">
      <c r="A3" s="13" t="s">
        <v>2</v>
      </c>
      <c r="B3" s="13"/>
      <c r="C3" s="13"/>
      <c r="D3" s="13"/>
      <c r="E3" s="13"/>
      <c r="F3" s="13"/>
      <c r="G3" s="13"/>
      <c r="H3" s="13"/>
      <c r="I3" s="13"/>
      <c r="J3" s="13"/>
      <c r="K3" s="13"/>
      <c r="L3" s="13"/>
    </row>
    <row r="5" spans="1:20" x14ac:dyDescent="0.3">
      <c r="A5" s="16" t="s">
        <v>3</v>
      </c>
      <c r="H5" s="16" t="s">
        <v>4</v>
      </c>
      <c r="O5" s="16" t="s">
        <v>5</v>
      </c>
    </row>
    <row r="6" spans="1:20" ht="24" customHeight="1" x14ac:dyDescent="0.3">
      <c r="A6" s="12" t="s">
        <v>6</v>
      </c>
      <c r="B6" s="12"/>
      <c r="C6" s="11"/>
      <c r="D6" s="11"/>
      <c r="H6" s="17" t="s">
        <v>7</v>
      </c>
      <c r="K6" s="10"/>
      <c r="L6" s="10"/>
      <c r="M6" s="10"/>
      <c r="O6" s="18"/>
      <c r="P6" s="19" t="s">
        <v>8</v>
      </c>
    </row>
    <row r="7" spans="1:20" ht="24" customHeight="1" x14ac:dyDescent="0.3">
      <c r="A7" s="12" t="s">
        <v>9</v>
      </c>
      <c r="B7" s="12"/>
      <c r="C7" s="11"/>
      <c r="D7" s="11"/>
      <c r="H7" s="17" t="s">
        <v>10</v>
      </c>
      <c r="K7" s="10"/>
      <c r="L7" s="10"/>
      <c r="M7" s="10"/>
      <c r="O7" s="20"/>
      <c r="P7" s="19" t="s">
        <v>11</v>
      </c>
    </row>
    <row r="8" spans="1:20" ht="24" customHeight="1" x14ac:dyDescent="0.3">
      <c r="A8" s="12" t="s">
        <v>12</v>
      </c>
      <c r="B8" s="12"/>
      <c r="C8" s="11"/>
      <c r="D8" s="11"/>
      <c r="H8" s="17" t="s">
        <v>13</v>
      </c>
      <c r="K8" s="10"/>
      <c r="L8" s="10"/>
      <c r="M8" s="10"/>
      <c r="O8" s="21"/>
      <c r="P8" s="19" t="s">
        <v>14</v>
      </c>
    </row>
    <row r="9" spans="1:20" ht="24" customHeight="1" x14ac:dyDescent="0.3">
      <c r="A9" s="12" t="s">
        <v>15</v>
      </c>
      <c r="B9" s="12"/>
      <c r="C9" s="11"/>
      <c r="D9" s="11"/>
      <c r="H9" s="17" t="s">
        <v>16</v>
      </c>
      <c r="K9" s="10"/>
      <c r="L9" s="10"/>
      <c r="M9" s="10"/>
      <c r="O9" s="22"/>
      <c r="P9" s="19" t="s">
        <v>17</v>
      </c>
    </row>
    <row r="10" spans="1:20" ht="24" customHeight="1" x14ac:dyDescent="0.3">
      <c r="H10" s="17" t="s">
        <v>18</v>
      </c>
      <c r="K10" s="10"/>
      <c r="L10" s="10"/>
      <c r="M10" s="10"/>
      <c r="O10" s="23"/>
      <c r="P10" s="19" t="s">
        <v>19</v>
      </c>
    </row>
    <row r="11" spans="1:20" ht="24" customHeight="1" x14ac:dyDescent="0.3">
      <c r="H11" s="17" t="s">
        <v>20</v>
      </c>
      <c r="K11" s="10"/>
      <c r="L11" s="10"/>
      <c r="M11" s="10"/>
    </row>
    <row r="12" spans="1:20" ht="24" customHeight="1" x14ac:dyDescent="0.3">
      <c r="H12" s="17" t="s">
        <v>21</v>
      </c>
      <c r="K12" s="10"/>
      <c r="L12" s="10"/>
      <c r="M12" s="10"/>
    </row>
    <row r="13" spans="1:20" ht="24" customHeight="1" x14ac:dyDescent="0.3">
      <c r="H13" s="17" t="s">
        <v>22</v>
      </c>
      <c r="K13" s="10"/>
      <c r="L13" s="10"/>
      <c r="M13" s="10"/>
    </row>
    <row r="15" spans="1:20" ht="18" customHeight="1" x14ac:dyDescent="0.3">
      <c r="A15" s="9" t="s">
        <v>23</v>
      </c>
      <c r="B15" s="9"/>
      <c r="C15" s="9"/>
      <c r="D15" s="9"/>
      <c r="E15" s="9"/>
      <c r="F15" s="9"/>
      <c r="G15" s="9"/>
      <c r="H15" s="9"/>
      <c r="I15" s="9"/>
      <c r="J15" s="9"/>
      <c r="K15" s="8" t="s">
        <v>24</v>
      </c>
      <c r="L15" s="8"/>
      <c r="M15" s="8"/>
      <c r="N15" s="8"/>
      <c r="O15" s="8"/>
      <c r="P15" s="8"/>
      <c r="Q15" s="8"/>
      <c r="R15" s="8"/>
      <c r="S15" s="8"/>
      <c r="T15" s="8"/>
    </row>
    <row r="16" spans="1:20" ht="69.75" customHeight="1" x14ac:dyDescent="0.3">
      <c r="A16" s="24" t="s">
        <v>25</v>
      </c>
      <c r="B16" s="24" t="s">
        <v>26</v>
      </c>
      <c r="C16" s="24" t="s">
        <v>27</v>
      </c>
      <c r="D16" s="24" t="s">
        <v>28</v>
      </c>
      <c r="E16" s="24" t="s">
        <v>29</v>
      </c>
      <c r="F16" s="24" t="s">
        <v>30</v>
      </c>
      <c r="G16" s="24" t="s">
        <v>31</v>
      </c>
      <c r="H16" s="24" t="s">
        <v>32</v>
      </c>
      <c r="I16" s="24" t="s">
        <v>33</v>
      </c>
      <c r="J16" s="24" t="s">
        <v>34</v>
      </c>
      <c r="K16" s="25" t="s">
        <v>35</v>
      </c>
      <c r="L16" s="25" t="s">
        <v>36</v>
      </c>
      <c r="M16" s="25" t="s">
        <v>37</v>
      </c>
      <c r="N16" s="25" t="s">
        <v>38</v>
      </c>
      <c r="O16" s="25" t="s">
        <v>39</v>
      </c>
      <c r="P16" s="25" t="s">
        <v>40</v>
      </c>
      <c r="Q16" s="25" t="s">
        <v>41</v>
      </c>
      <c r="R16" s="25" t="s">
        <v>42</v>
      </c>
      <c r="S16" s="25" t="s">
        <v>43</v>
      </c>
      <c r="T16" s="25" t="s">
        <v>44</v>
      </c>
    </row>
    <row r="17" spans="1:20" ht="27" customHeight="1" x14ac:dyDescent="0.3">
      <c r="A17" s="26" t="s">
        <v>45</v>
      </c>
      <c r="B17" s="27" t="s">
        <v>46</v>
      </c>
      <c r="C17" s="27" t="s">
        <v>47</v>
      </c>
      <c r="D17" s="27"/>
      <c r="E17" s="27"/>
      <c r="F17" s="27"/>
      <c r="G17" s="27"/>
      <c r="H17" s="27"/>
      <c r="I17" s="27"/>
      <c r="J17" s="27"/>
      <c r="K17" s="27" t="s">
        <v>48</v>
      </c>
      <c r="L17" s="27" t="s">
        <v>49</v>
      </c>
      <c r="M17" s="27" t="s">
        <v>50</v>
      </c>
      <c r="N17" s="28">
        <v>9500</v>
      </c>
      <c r="O17" s="29">
        <v>2.4</v>
      </c>
      <c r="P17" s="29">
        <f>IF(AND(ISNUMBER(N17),ISNUMBER(O17)),N17*O17,0)</f>
        <v>22800</v>
      </c>
      <c r="Q17" s="27" t="s">
        <v>51</v>
      </c>
      <c r="R17" s="27">
        <v>60</v>
      </c>
      <c r="S17" s="27">
        <v>24</v>
      </c>
      <c r="T17" s="27" t="s">
        <v>52</v>
      </c>
    </row>
    <row r="18" spans="1:20" ht="19.5" customHeight="1" x14ac:dyDescent="0.3">
      <c r="A18" s="7" t="s">
        <v>53</v>
      </c>
      <c r="B18" s="7"/>
      <c r="C18" s="7"/>
      <c r="D18" s="7"/>
      <c r="E18" s="7"/>
      <c r="F18" s="7"/>
      <c r="G18" s="7"/>
      <c r="H18" s="7"/>
      <c r="I18" s="7"/>
      <c r="J18" s="7"/>
      <c r="K18" s="7"/>
      <c r="L18" s="7"/>
      <c r="M18" s="7"/>
      <c r="N18" s="7"/>
      <c r="O18" s="7"/>
      <c r="P18" s="7"/>
      <c r="Q18" s="7"/>
      <c r="R18" s="7"/>
      <c r="S18" s="7"/>
      <c r="T18" s="7"/>
    </row>
    <row r="19" spans="1:20" ht="84" customHeight="1" x14ac:dyDescent="0.3">
      <c r="A19" s="30" t="s">
        <v>54</v>
      </c>
      <c r="B19" s="31" t="s">
        <v>55</v>
      </c>
      <c r="C19" s="31" t="s">
        <v>56</v>
      </c>
      <c r="D19" s="31" t="s">
        <v>57</v>
      </c>
      <c r="E19" s="31" t="s">
        <v>58</v>
      </c>
      <c r="F19" s="30" t="s">
        <v>59</v>
      </c>
      <c r="G19" s="30" t="s">
        <v>60</v>
      </c>
      <c r="H19" s="31" t="s">
        <v>61</v>
      </c>
      <c r="I19" s="30" t="s">
        <v>62</v>
      </c>
      <c r="J19" s="30" t="s">
        <v>63</v>
      </c>
      <c r="K19" s="32"/>
      <c r="L19" s="32"/>
      <c r="M19" s="32"/>
      <c r="N19" s="33" t="e">
        <f>#REF!</f>
        <v>#REF!</v>
      </c>
      <c r="O19" s="34"/>
      <c r="P19" s="35">
        <f>IF(AND(ISNUMBER(N19),ISNUMBER(O19)),N19*O19,0)</f>
        <v>0</v>
      </c>
      <c r="Q19" s="32"/>
      <c r="R19" s="36"/>
      <c r="S19" s="36"/>
      <c r="T19" s="32"/>
    </row>
    <row r="20" spans="1:20" ht="96" customHeight="1" x14ac:dyDescent="0.3">
      <c r="A20" s="30" t="s">
        <v>64</v>
      </c>
      <c r="B20" s="31" t="s">
        <v>65</v>
      </c>
      <c r="C20" s="31" t="s">
        <v>66</v>
      </c>
      <c r="D20" s="31" t="s">
        <v>57</v>
      </c>
      <c r="E20" s="31" t="s">
        <v>67</v>
      </c>
      <c r="F20" s="30" t="s">
        <v>59</v>
      </c>
      <c r="G20" s="30" t="s">
        <v>68</v>
      </c>
      <c r="H20" s="31" t="s">
        <v>69</v>
      </c>
      <c r="I20" s="30" t="s">
        <v>62</v>
      </c>
      <c r="J20" s="37">
        <v>24500</v>
      </c>
      <c r="K20" s="32"/>
      <c r="L20" s="32"/>
      <c r="M20" s="32"/>
      <c r="N20" s="38">
        <f>J20</f>
        <v>24500</v>
      </c>
      <c r="O20" s="34"/>
      <c r="P20" s="35">
        <f>IF(AND(ISNUMBER(N20),ISNUMBER(O20)),N20*O20,0)</f>
        <v>0</v>
      </c>
      <c r="Q20" s="32"/>
      <c r="R20" s="36"/>
      <c r="S20" s="36"/>
      <c r="T20" s="32"/>
    </row>
    <row r="21" spans="1:20" ht="96" customHeight="1" x14ac:dyDescent="0.3">
      <c r="A21" s="30" t="s">
        <v>70</v>
      </c>
      <c r="B21" s="31" t="s">
        <v>71</v>
      </c>
      <c r="C21" s="31" t="s">
        <v>72</v>
      </c>
      <c r="D21" s="31" t="s">
        <v>57</v>
      </c>
      <c r="E21" s="31" t="s">
        <v>73</v>
      </c>
      <c r="F21" s="30" t="s">
        <v>59</v>
      </c>
      <c r="G21" s="30" t="s">
        <v>74</v>
      </c>
      <c r="H21" s="31" t="s">
        <v>75</v>
      </c>
      <c r="I21" s="30" t="s">
        <v>62</v>
      </c>
      <c r="J21" s="30" t="s">
        <v>63</v>
      </c>
      <c r="K21" s="32"/>
      <c r="L21" s="32"/>
      <c r="M21" s="32"/>
      <c r="N21" s="33" t="e">
        <f>#REF!</f>
        <v>#REF!</v>
      </c>
      <c r="O21" s="34"/>
      <c r="P21" s="35">
        <f>IF(AND(ISNUMBER(N21),ISNUMBER(O21)),N21*O21,0)</f>
        <v>0</v>
      </c>
      <c r="Q21" s="32"/>
      <c r="R21" s="36"/>
      <c r="S21" s="36"/>
      <c r="T21" s="32"/>
    </row>
    <row r="22" spans="1:20" ht="96" customHeight="1" x14ac:dyDescent="0.3">
      <c r="A22" s="30" t="s">
        <v>76</v>
      </c>
      <c r="B22" s="31" t="s">
        <v>77</v>
      </c>
      <c r="C22" s="31" t="s">
        <v>78</v>
      </c>
      <c r="D22" s="31" t="s">
        <v>57</v>
      </c>
      <c r="E22" s="31" t="s">
        <v>79</v>
      </c>
      <c r="F22" s="30" t="s">
        <v>59</v>
      </c>
      <c r="G22" s="30" t="s">
        <v>74</v>
      </c>
      <c r="H22" s="31" t="s">
        <v>75</v>
      </c>
      <c r="I22" s="30" t="s">
        <v>62</v>
      </c>
      <c r="J22" s="30" t="s">
        <v>63</v>
      </c>
      <c r="K22" s="32"/>
      <c r="L22" s="32"/>
      <c r="M22" s="32"/>
      <c r="N22" s="33" t="e">
        <f>#REF!</f>
        <v>#REF!</v>
      </c>
      <c r="O22" s="34"/>
      <c r="P22" s="35">
        <f>IF(AND(ISNUMBER(N22),ISNUMBER(O22)),N22*O22,0)</f>
        <v>0</v>
      </c>
      <c r="Q22" s="32"/>
      <c r="R22" s="36"/>
      <c r="S22" s="36"/>
      <c r="T22" s="32"/>
    </row>
    <row r="23" spans="1:20" ht="84" customHeight="1" x14ac:dyDescent="0.3">
      <c r="A23" s="30" t="s">
        <v>80</v>
      </c>
      <c r="B23" s="31" t="s">
        <v>81</v>
      </c>
      <c r="C23" s="31" t="s">
        <v>82</v>
      </c>
      <c r="D23" s="31" t="s">
        <v>83</v>
      </c>
      <c r="E23" s="31" t="s">
        <v>84</v>
      </c>
      <c r="F23" s="30" t="s">
        <v>59</v>
      </c>
      <c r="G23" s="30" t="s">
        <v>60</v>
      </c>
      <c r="H23" s="31" t="s">
        <v>85</v>
      </c>
      <c r="I23" s="30" t="s">
        <v>62</v>
      </c>
      <c r="J23" s="30" t="s">
        <v>63</v>
      </c>
      <c r="K23" s="32"/>
      <c r="L23" s="32"/>
      <c r="M23" s="32"/>
      <c r="N23" s="33" t="e">
        <f>#REF!</f>
        <v>#REF!</v>
      </c>
      <c r="O23" s="34"/>
      <c r="P23" s="35">
        <f>IF(AND(ISNUMBER(N23),ISNUMBER(O23)),N23*O23,0)</f>
        <v>0</v>
      </c>
      <c r="Q23" s="32"/>
      <c r="R23" s="36"/>
      <c r="S23" s="36"/>
      <c r="T23" s="32"/>
    </row>
    <row r="24" spans="1:20" ht="19.5" customHeight="1" x14ac:dyDescent="0.3">
      <c r="A24" s="7" t="s">
        <v>86</v>
      </c>
      <c r="B24" s="7"/>
      <c r="C24" s="7"/>
      <c r="D24" s="7"/>
      <c r="E24" s="7"/>
      <c r="F24" s="7"/>
      <c r="G24" s="7"/>
      <c r="H24" s="7"/>
      <c r="I24" s="7"/>
      <c r="J24" s="7"/>
      <c r="K24" s="7"/>
      <c r="L24" s="7"/>
      <c r="M24" s="7"/>
      <c r="N24" s="7"/>
      <c r="O24" s="7"/>
      <c r="P24" s="7"/>
      <c r="Q24" s="7"/>
      <c r="R24" s="7"/>
      <c r="S24" s="7"/>
      <c r="T24" s="7"/>
    </row>
    <row r="25" spans="1:20" ht="84" customHeight="1" x14ac:dyDescent="0.3">
      <c r="A25" s="30" t="s">
        <v>87</v>
      </c>
      <c r="B25" s="31" t="s">
        <v>88</v>
      </c>
      <c r="C25" s="31" t="s">
        <v>89</v>
      </c>
      <c r="D25" s="31" t="s">
        <v>90</v>
      </c>
      <c r="E25" s="31" t="s">
        <v>91</v>
      </c>
      <c r="F25" s="30" t="s">
        <v>59</v>
      </c>
      <c r="G25" s="30" t="s">
        <v>92</v>
      </c>
      <c r="H25" s="31" t="s">
        <v>93</v>
      </c>
      <c r="I25" s="30" t="s">
        <v>62</v>
      </c>
      <c r="J25" s="30" t="s">
        <v>63</v>
      </c>
      <c r="K25" s="32"/>
      <c r="L25" s="32"/>
      <c r="M25" s="32"/>
      <c r="N25" s="33" t="e">
        <f>#REF!</f>
        <v>#REF!</v>
      </c>
      <c r="O25" s="34"/>
      <c r="P25" s="35">
        <f>IF(AND(ISNUMBER(N25),ISNUMBER(O25)),N25*O25,0)</f>
        <v>0</v>
      </c>
      <c r="Q25" s="32"/>
      <c r="R25" s="36"/>
      <c r="S25" s="36"/>
      <c r="T25" s="32"/>
    </row>
    <row r="26" spans="1:20" ht="96" customHeight="1" x14ac:dyDescent="0.3">
      <c r="A26" s="30" t="s">
        <v>94</v>
      </c>
      <c r="B26" s="31" t="s">
        <v>95</v>
      </c>
      <c r="C26" s="31" t="s">
        <v>96</v>
      </c>
      <c r="D26" s="31" t="s">
        <v>90</v>
      </c>
      <c r="E26" s="31" t="s">
        <v>97</v>
      </c>
      <c r="F26" s="30" t="s">
        <v>59</v>
      </c>
      <c r="G26" s="30" t="s">
        <v>60</v>
      </c>
      <c r="H26" s="31" t="s">
        <v>98</v>
      </c>
      <c r="I26" s="30" t="s">
        <v>62</v>
      </c>
      <c r="J26" s="30" t="s">
        <v>63</v>
      </c>
      <c r="K26" s="32"/>
      <c r="L26" s="32"/>
      <c r="M26" s="32"/>
      <c r="N26" s="33" t="e">
        <f>#REF!</f>
        <v>#REF!</v>
      </c>
      <c r="O26" s="34"/>
      <c r="P26" s="35">
        <f>IF(AND(ISNUMBER(N26),ISNUMBER(O26)),N26*O26,0)</f>
        <v>0</v>
      </c>
      <c r="Q26" s="32"/>
      <c r="R26" s="36"/>
      <c r="S26" s="36"/>
      <c r="T26" s="32"/>
    </row>
    <row r="27" spans="1:20" ht="96" customHeight="1" x14ac:dyDescent="0.3">
      <c r="A27" s="39" t="s">
        <v>99</v>
      </c>
      <c r="B27" s="40" t="s">
        <v>100</v>
      </c>
      <c r="C27" s="40" t="s">
        <v>101</v>
      </c>
      <c r="D27" s="31" t="s">
        <v>90</v>
      </c>
      <c r="E27" s="31" t="s">
        <v>102</v>
      </c>
      <c r="F27" s="30" t="s">
        <v>59</v>
      </c>
      <c r="G27" s="30"/>
      <c r="H27" s="31" t="s">
        <v>98</v>
      </c>
      <c r="I27" s="30"/>
      <c r="J27" s="30"/>
      <c r="K27" s="6" t="s">
        <v>103</v>
      </c>
      <c r="L27" s="6"/>
      <c r="M27" s="6"/>
      <c r="N27" s="6"/>
      <c r="O27" s="6"/>
      <c r="P27" s="6"/>
      <c r="Q27" s="6"/>
      <c r="R27" s="6"/>
      <c r="S27" s="6"/>
      <c r="T27" s="6"/>
    </row>
    <row r="28" spans="1:20" ht="61.5" customHeight="1" x14ac:dyDescent="0.3">
      <c r="A28" s="30" t="s">
        <v>104</v>
      </c>
      <c r="B28" s="31" t="s">
        <v>105</v>
      </c>
      <c r="C28" s="31" t="s">
        <v>106</v>
      </c>
      <c r="D28" s="31" t="s">
        <v>90</v>
      </c>
      <c r="E28" s="31" t="s">
        <v>107</v>
      </c>
      <c r="F28" s="30" t="s">
        <v>59</v>
      </c>
      <c r="G28" s="30" t="s">
        <v>108</v>
      </c>
      <c r="H28" s="31" t="s">
        <v>98</v>
      </c>
      <c r="I28" s="30" t="s">
        <v>62</v>
      </c>
      <c r="J28" s="30" t="s">
        <v>63</v>
      </c>
      <c r="K28" s="32"/>
      <c r="L28" s="32"/>
      <c r="M28" s="32"/>
      <c r="N28" s="33" t="e">
        <f>#REF!</f>
        <v>#REF!</v>
      </c>
      <c r="O28" s="34"/>
      <c r="P28" s="35">
        <f>IF(AND(ISNUMBER(N28),ISNUMBER(O28)),N28*O28,0)</f>
        <v>0</v>
      </c>
      <c r="Q28" s="32"/>
      <c r="R28" s="36"/>
      <c r="S28" s="36"/>
      <c r="T28" s="32"/>
    </row>
    <row r="29" spans="1:20" ht="61.5" customHeight="1" x14ac:dyDescent="0.3">
      <c r="A29" s="30" t="s">
        <v>109</v>
      </c>
      <c r="B29" s="31" t="s">
        <v>110</v>
      </c>
      <c r="C29" s="31" t="s">
        <v>111</v>
      </c>
      <c r="D29" s="31" t="s">
        <v>90</v>
      </c>
      <c r="E29" s="31" t="s">
        <v>112</v>
      </c>
      <c r="F29" s="30" t="s">
        <v>59</v>
      </c>
      <c r="G29" s="30" t="s">
        <v>108</v>
      </c>
      <c r="H29" s="31" t="s">
        <v>98</v>
      </c>
      <c r="I29" s="30" t="s">
        <v>62</v>
      </c>
      <c r="J29" s="30" t="s">
        <v>63</v>
      </c>
      <c r="K29" s="32"/>
      <c r="L29" s="32"/>
      <c r="M29" s="32"/>
      <c r="N29" s="33" t="e">
        <f>#REF!</f>
        <v>#REF!</v>
      </c>
      <c r="O29" s="34"/>
      <c r="P29" s="35">
        <f>IF(AND(ISNUMBER(N29),ISNUMBER(O29)),N29*O29,0)</f>
        <v>0</v>
      </c>
      <c r="Q29" s="32"/>
      <c r="R29" s="36"/>
      <c r="S29" s="36"/>
      <c r="T29" s="32"/>
    </row>
    <row r="30" spans="1:20" ht="61.5" customHeight="1" x14ac:dyDescent="0.3">
      <c r="A30" s="30" t="s">
        <v>113</v>
      </c>
      <c r="B30" s="31" t="s">
        <v>114</v>
      </c>
      <c r="C30" s="31" t="s">
        <v>115</v>
      </c>
      <c r="D30" s="31" t="s">
        <v>90</v>
      </c>
      <c r="E30" s="31" t="s">
        <v>116</v>
      </c>
      <c r="F30" s="30" t="s">
        <v>59</v>
      </c>
      <c r="G30" s="30" t="s">
        <v>108</v>
      </c>
      <c r="H30" s="31" t="s">
        <v>98</v>
      </c>
      <c r="I30" s="30" t="s">
        <v>62</v>
      </c>
      <c r="J30" s="30" t="s">
        <v>63</v>
      </c>
      <c r="K30" s="32"/>
      <c r="L30" s="32"/>
      <c r="M30" s="32"/>
      <c r="N30" s="33" t="e">
        <f>#REF!</f>
        <v>#REF!</v>
      </c>
      <c r="O30" s="34"/>
      <c r="P30" s="35">
        <f>IF(AND(ISNUMBER(N30),ISNUMBER(O30)),N30*O30,0)</f>
        <v>0</v>
      </c>
      <c r="Q30" s="32"/>
      <c r="R30" s="36"/>
      <c r="S30" s="36"/>
      <c r="T30" s="32"/>
    </row>
    <row r="31" spans="1:20" ht="49.5" customHeight="1" x14ac:dyDescent="0.3">
      <c r="A31" s="39" t="s">
        <v>117</v>
      </c>
      <c r="B31" s="40" t="s">
        <v>118</v>
      </c>
      <c r="C31" s="40" t="s">
        <v>119</v>
      </c>
      <c r="D31" s="31" t="s">
        <v>90</v>
      </c>
      <c r="E31" s="31" t="s">
        <v>120</v>
      </c>
      <c r="F31" s="30" t="s">
        <v>121</v>
      </c>
      <c r="G31" s="30"/>
      <c r="H31" s="31" t="s">
        <v>122</v>
      </c>
      <c r="I31" s="30"/>
      <c r="J31" s="30"/>
      <c r="K31" s="6" t="s">
        <v>103</v>
      </c>
      <c r="L31" s="6"/>
      <c r="M31" s="6"/>
      <c r="N31" s="6"/>
      <c r="O31" s="6"/>
      <c r="P31" s="6"/>
      <c r="Q31" s="6"/>
      <c r="R31" s="6"/>
      <c r="S31" s="6"/>
      <c r="T31" s="6"/>
    </row>
    <row r="32" spans="1:20" ht="49.5" customHeight="1" x14ac:dyDescent="0.3">
      <c r="A32" s="30" t="s">
        <v>123</v>
      </c>
      <c r="B32" s="31" t="s">
        <v>124</v>
      </c>
      <c r="C32" s="31" t="s">
        <v>125</v>
      </c>
      <c r="D32" s="31" t="s">
        <v>90</v>
      </c>
      <c r="E32" s="31"/>
      <c r="F32" s="30" t="s">
        <v>121</v>
      </c>
      <c r="G32" s="30"/>
      <c r="H32" s="31" t="s">
        <v>126</v>
      </c>
      <c r="I32" s="30" t="s">
        <v>127</v>
      </c>
      <c r="J32" s="37">
        <v>6</v>
      </c>
      <c r="K32" s="32"/>
      <c r="L32" s="32"/>
      <c r="M32" s="32"/>
      <c r="N32" s="38">
        <f>J32</f>
        <v>6</v>
      </c>
      <c r="O32" s="34"/>
      <c r="P32" s="35">
        <f>IF(AND(ISNUMBER(N32),ISNUMBER(O32)),N32*O32,0)</f>
        <v>0</v>
      </c>
      <c r="Q32" s="32"/>
      <c r="R32" s="36"/>
      <c r="S32" s="36"/>
      <c r="T32" s="32"/>
    </row>
    <row r="33" spans="1:20" ht="49.5" customHeight="1" x14ac:dyDescent="0.3">
      <c r="A33" s="30" t="s">
        <v>128</v>
      </c>
      <c r="B33" s="31" t="s">
        <v>129</v>
      </c>
      <c r="C33" s="31" t="s">
        <v>130</v>
      </c>
      <c r="D33" s="31" t="s">
        <v>90</v>
      </c>
      <c r="E33" s="31"/>
      <c r="F33" s="30" t="s">
        <v>121</v>
      </c>
      <c r="G33" s="30"/>
      <c r="H33" s="31" t="s">
        <v>126</v>
      </c>
      <c r="I33" s="30" t="s">
        <v>127</v>
      </c>
      <c r="J33" s="37">
        <v>6</v>
      </c>
      <c r="K33" s="32"/>
      <c r="L33" s="32"/>
      <c r="M33" s="32"/>
      <c r="N33" s="38">
        <f>J33</f>
        <v>6</v>
      </c>
      <c r="O33" s="34"/>
      <c r="P33" s="35">
        <f>IF(AND(ISNUMBER(N33),ISNUMBER(O33)),N33*O33,0)</f>
        <v>0</v>
      </c>
      <c r="Q33" s="32"/>
      <c r="R33" s="36"/>
      <c r="S33" s="36"/>
      <c r="T33" s="32"/>
    </row>
    <row r="34" spans="1:20" ht="49.5" customHeight="1" x14ac:dyDescent="0.3">
      <c r="A34" s="30" t="s">
        <v>131</v>
      </c>
      <c r="B34" s="31" t="s">
        <v>132</v>
      </c>
      <c r="C34" s="31" t="s">
        <v>133</v>
      </c>
      <c r="D34" s="31" t="s">
        <v>90</v>
      </c>
      <c r="E34" s="31"/>
      <c r="F34" s="30" t="s">
        <v>121</v>
      </c>
      <c r="G34" s="30"/>
      <c r="H34" s="31" t="s">
        <v>126</v>
      </c>
      <c r="I34" s="30" t="s">
        <v>127</v>
      </c>
      <c r="J34" s="37">
        <v>6</v>
      </c>
      <c r="K34" s="32"/>
      <c r="L34" s="32"/>
      <c r="M34" s="32"/>
      <c r="N34" s="38">
        <f>J34</f>
        <v>6</v>
      </c>
      <c r="O34" s="34"/>
      <c r="P34" s="35">
        <f>IF(AND(ISNUMBER(N34),ISNUMBER(O34)),N34*O34,0)</f>
        <v>0</v>
      </c>
      <c r="Q34" s="32"/>
      <c r="R34" s="36"/>
      <c r="S34" s="36"/>
      <c r="T34" s="32"/>
    </row>
    <row r="35" spans="1:20" ht="49.5" customHeight="1" x14ac:dyDescent="0.3">
      <c r="A35" s="30" t="s">
        <v>134</v>
      </c>
      <c r="B35" s="31" t="s">
        <v>135</v>
      </c>
      <c r="C35" s="31" t="s">
        <v>136</v>
      </c>
      <c r="D35" s="31" t="s">
        <v>90</v>
      </c>
      <c r="E35" s="31"/>
      <c r="F35" s="30" t="s">
        <v>121</v>
      </c>
      <c r="G35" s="30"/>
      <c r="H35" s="31" t="s">
        <v>126</v>
      </c>
      <c r="I35" s="30" t="s">
        <v>127</v>
      </c>
      <c r="J35" s="37">
        <v>6</v>
      </c>
      <c r="K35" s="32"/>
      <c r="L35" s="32"/>
      <c r="M35" s="32"/>
      <c r="N35" s="38">
        <f>J35</f>
        <v>6</v>
      </c>
      <c r="O35" s="34"/>
      <c r="P35" s="35">
        <f>IF(AND(ISNUMBER(N35),ISNUMBER(O35)),N35*O35,0)</f>
        <v>0</v>
      </c>
      <c r="Q35" s="32"/>
      <c r="R35" s="36"/>
      <c r="S35" s="36"/>
      <c r="T35" s="32"/>
    </row>
    <row r="36" spans="1:20" ht="19.5" customHeight="1" x14ac:dyDescent="0.3">
      <c r="A36" s="7" t="s">
        <v>137</v>
      </c>
      <c r="B36" s="7"/>
      <c r="C36" s="7"/>
      <c r="D36" s="7"/>
      <c r="E36" s="7"/>
      <c r="F36" s="7"/>
      <c r="G36" s="7"/>
      <c r="H36" s="7"/>
      <c r="I36" s="7"/>
      <c r="J36" s="7"/>
      <c r="K36" s="7"/>
      <c r="L36" s="7"/>
      <c r="M36" s="7"/>
      <c r="N36" s="7"/>
      <c r="O36" s="7"/>
      <c r="P36" s="7"/>
      <c r="Q36" s="7"/>
      <c r="R36" s="7"/>
      <c r="S36" s="7"/>
      <c r="T36" s="7"/>
    </row>
    <row r="37" spans="1:20" ht="61.5" customHeight="1" x14ac:dyDescent="0.3">
      <c r="A37" s="30" t="s">
        <v>138</v>
      </c>
      <c r="B37" s="31" t="s">
        <v>139</v>
      </c>
      <c r="C37" s="31" t="s">
        <v>140</v>
      </c>
      <c r="D37" s="31" t="s">
        <v>141</v>
      </c>
      <c r="E37" s="31" t="s">
        <v>142</v>
      </c>
      <c r="F37" s="30" t="s">
        <v>59</v>
      </c>
      <c r="G37" s="30" t="s">
        <v>143</v>
      </c>
      <c r="H37" s="31" t="s">
        <v>144</v>
      </c>
      <c r="I37" s="30" t="s">
        <v>62</v>
      </c>
      <c r="J37" s="30" t="s">
        <v>63</v>
      </c>
      <c r="K37" s="32"/>
      <c r="L37" s="32"/>
      <c r="M37" s="32"/>
      <c r="N37" s="33" t="e">
        <f>#REF!</f>
        <v>#REF!</v>
      </c>
      <c r="O37" s="34"/>
      <c r="P37" s="35">
        <f>IF(AND(ISNUMBER(N37),ISNUMBER(O37)),N37*O37,0)</f>
        <v>0</v>
      </c>
      <c r="Q37" s="32"/>
      <c r="R37" s="36"/>
      <c r="S37" s="36"/>
      <c r="T37" s="32"/>
    </row>
    <row r="38" spans="1:20" ht="72.75" customHeight="1" x14ac:dyDescent="0.3">
      <c r="A38" s="30" t="s">
        <v>145</v>
      </c>
      <c r="B38" s="31" t="s">
        <v>146</v>
      </c>
      <c r="C38" s="31" t="s">
        <v>147</v>
      </c>
      <c r="D38" s="31" t="s">
        <v>141</v>
      </c>
      <c r="E38" s="31" t="s">
        <v>148</v>
      </c>
      <c r="F38" s="30" t="s">
        <v>59</v>
      </c>
      <c r="G38" s="30" t="s">
        <v>149</v>
      </c>
      <c r="H38" s="31" t="s">
        <v>150</v>
      </c>
      <c r="I38" s="30" t="s">
        <v>62</v>
      </c>
      <c r="J38" s="30" t="s">
        <v>63</v>
      </c>
      <c r="K38" s="32"/>
      <c r="L38" s="32"/>
      <c r="M38" s="32"/>
      <c r="N38" s="33" t="e">
        <f>#REF!</f>
        <v>#REF!</v>
      </c>
      <c r="O38" s="34"/>
      <c r="P38" s="35">
        <f>IF(AND(ISNUMBER(N38),ISNUMBER(O38)),N38*O38,0)</f>
        <v>0</v>
      </c>
      <c r="Q38" s="32"/>
      <c r="R38" s="36"/>
      <c r="S38" s="36"/>
      <c r="T38" s="32"/>
    </row>
    <row r="39" spans="1:20" ht="49.5" customHeight="1" x14ac:dyDescent="0.3">
      <c r="A39" s="39" t="s">
        <v>151</v>
      </c>
      <c r="B39" s="40" t="s">
        <v>152</v>
      </c>
      <c r="C39" s="40" t="s">
        <v>153</v>
      </c>
      <c r="D39" s="31" t="s">
        <v>141</v>
      </c>
      <c r="E39" s="31" t="s">
        <v>154</v>
      </c>
      <c r="F39" s="30" t="s">
        <v>59</v>
      </c>
      <c r="G39" s="30" t="s">
        <v>149</v>
      </c>
      <c r="H39" s="31" t="s">
        <v>155</v>
      </c>
      <c r="I39" s="30"/>
      <c r="J39" s="30"/>
      <c r="K39" s="6" t="s">
        <v>103</v>
      </c>
      <c r="L39" s="6"/>
      <c r="M39" s="6"/>
      <c r="N39" s="6"/>
      <c r="O39" s="6"/>
      <c r="P39" s="6"/>
      <c r="Q39" s="6"/>
      <c r="R39" s="6"/>
      <c r="S39" s="6"/>
      <c r="T39" s="6"/>
    </row>
    <row r="40" spans="1:20" ht="49.5" customHeight="1" x14ac:dyDescent="0.3">
      <c r="A40" s="30" t="s">
        <v>156</v>
      </c>
      <c r="B40" s="31" t="s">
        <v>157</v>
      </c>
      <c r="C40" s="31" t="s">
        <v>158</v>
      </c>
      <c r="D40" s="31" t="s">
        <v>141</v>
      </c>
      <c r="E40" s="31"/>
      <c r="F40" s="30" t="s">
        <v>59</v>
      </c>
      <c r="G40" s="30" t="s">
        <v>149</v>
      </c>
      <c r="H40" s="31" t="s">
        <v>159</v>
      </c>
      <c r="I40" s="30" t="s">
        <v>62</v>
      </c>
      <c r="J40" s="30" t="s">
        <v>63</v>
      </c>
      <c r="K40" s="32"/>
      <c r="L40" s="32"/>
      <c r="M40" s="32"/>
      <c r="N40" s="33" t="e">
        <f>#REF!</f>
        <v>#REF!</v>
      </c>
      <c r="O40" s="34"/>
      <c r="P40" s="35">
        <f>IF(AND(ISNUMBER(N40),ISNUMBER(O40)),N40*O40,0)</f>
        <v>0</v>
      </c>
      <c r="Q40" s="32"/>
      <c r="R40" s="36"/>
      <c r="S40" s="36"/>
      <c r="T40" s="32"/>
    </row>
    <row r="41" spans="1:20" ht="49.5" customHeight="1" x14ac:dyDescent="0.3">
      <c r="A41" s="30" t="s">
        <v>160</v>
      </c>
      <c r="B41" s="31" t="s">
        <v>161</v>
      </c>
      <c r="C41" s="31" t="s">
        <v>162</v>
      </c>
      <c r="D41" s="31" t="s">
        <v>141</v>
      </c>
      <c r="E41" s="31"/>
      <c r="F41" s="30" t="s">
        <v>59</v>
      </c>
      <c r="G41" s="30" t="s">
        <v>149</v>
      </c>
      <c r="H41" s="31" t="s">
        <v>163</v>
      </c>
      <c r="I41" s="30" t="s">
        <v>62</v>
      </c>
      <c r="J41" s="30" t="s">
        <v>63</v>
      </c>
      <c r="K41" s="32"/>
      <c r="L41" s="32"/>
      <c r="M41" s="32"/>
      <c r="N41" s="33" t="e">
        <f>#REF!</f>
        <v>#REF!</v>
      </c>
      <c r="O41" s="34"/>
      <c r="P41" s="35">
        <f>IF(AND(ISNUMBER(N41),ISNUMBER(O41)),N41*O41,0)</f>
        <v>0</v>
      </c>
      <c r="Q41" s="32"/>
      <c r="R41" s="36"/>
      <c r="S41" s="36"/>
      <c r="T41" s="32"/>
    </row>
    <row r="42" spans="1:20" ht="19.5" customHeight="1" x14ac:dyDescent="0.3">
      <c r="A42" s="7" t="s">
        <v>164</v>
      </c>
      <c r="B42" s="7"/>
      <c r="C42" s="7"/>
      <c r="D42" s="7"/>
      <c r="E42" s="7"/>
      <c r="F42" s="7"/>
      <c r="G42" s="7"/>
      <c r="H42" s="7"/>
      <c r="I42" s="7"/>
      <c r="J42" s="7"/>
      <c r="K42" s="7"/>
      <c r="L42" s="7"/>
      <c r="M42" s="7"/>
      <c r="N42" s="7"/>
      <c r="O42" s="7"/>
      <c r="P42" s="7"/>
      <c r="Q42" s="7"/>
      <c r="R42" s="7"/>
      <c r="S42" s="7"/>
      <c r="T42" s="7"/>
    </row>
    <row r="43" spans="1:20" ht="96" customHeight="1" x14ac:dyDescent="0.3">
      <c r="A43" s="30" t="s">
        <v>165</v>
      </c>
      <c r="B43" s="31" t="s">
        <v>166</v>
      </c>
      <c r="C43" s="31" t="s">
        <v>167</v>
      </c>
      <c r="D43" s="31" t="s">
        <v>90</v>
      </c>
      <c r="E43" s="31" t="s">
        <v>168</v>
      </c>
      <c r="F43" s="30" t="s">
        <v>52</v>
      </c>
      <c r="G43" s="30"/>
      <c r="H43" s="31" t="s">
        <v>98</v>
      </c>
      <c r="I43" s="30" t="s">
        <v>169</v>
      </c>
      <c r="J43" s="37">
        <v>1</v>
      </c>
      <c r="K43" s="32"/>
      <c r="L43" s="32"/>
      <c r="M43" s="32"/>
      <c r="N43" s="38">
        <f>J43</f>
        <v>1</v>
      </c>
      <c r="O43" s="34"/>
      <c r="P43" s="35">
        <f>IF(AND(ISNUMBER(N43),ISNUMBER(O43)),N43*O43,0)</f>
        <v>0</v>
      </c>
      <c r="Q43" s="32"/>
      <c r="R43" s="36"/>
      <c r="S43" s="36"/>
      <c r="T43" s="32"/>
    </row>
    <row r="44" spans="1:20" ht="96" customHeight="1" x14ac:dyDescent="0.3">
      <c r="A44" s="30" t="s">
        <v>170</v>
      </c>
      <c r="B44" s="31" t="s">
        <v>171</v>
      </c>
      <c r="C44" s="31" t="s">
        <v>172</v>
      </c>
      <c r="D44" s="31" t="s">
        <v>90</v>
      </c>
      <c r="E44" s="31" t="s">
        <v>173</v>
      </c>
      <c r="F44" s="30" t="s">
        <v>52</v>
      </c>
      <c r="G44" s="30" t="s">
        <v>174</v>
      </c>
      <c r="H44" s="31" t="s">
        <v>175</v>
      </c>
      <c r="I44" s="30" t="s">
        <v>176</v>
      </c>
      <c r="J44" s="37">
        <v>4</v>
      </c>
      <c r="K44" s="32"/>
      <c r="L44" s="32"/>
      <c r="M44" s="32"/>
      <c r="N44" s="38">
        <f>J44</f>
        <v>4</v>
      </c>
      <c r="O44" s="34"/>
      <c r="P44" s="35">
        <f>IF(AND(ISNUMBER(N44),ISNUMBER(O44)),N44*O44,0)</f>
        <v>0</v>
      </c>
      <c r="Q44" s="32"/>
      <c r="R44" s="36"/>
      <c r="S44" s="36"/>
      <c r="T44" s="32"/>
    </row>
    <row r="45" spans="1:20" ht="107.25" customHeight="1" x14ac:dyDescent="0.3">
      <c r="A45" s="30" t="s">
        <v>177</v>
      </c>
      <c r="B45" s="31" t="s">
        <v>178</v>
      </c>
      <c r="C45" s="31" t="s">
        <v>179</v>
      </c>
      <c r="D45" s="31" t="s">
        <v>180</v>
      </c>
      <c r="E45" s="31" t="s">
        <v>181</v>
      </c>
      <c r="F45" s="30" t="s">
        <v>52</v>
      </c>
      <c r="G45" s="30" t="s">
        <v>182</v>
      </c>
      <c r="H45" s="31"/>
      <c r="I45" s="30" t="s">
        <v>169</v>
      </c>
      <c r="J45" s="37">
        <v>1</v>
      </c>
      <c r="K45" s="32"/>
      <c r="L45" s="32"/>
      <c r="M45" s="32"/>
      <c r="N45" s="38">
        <f>J45</f>
        <v>1</v>
      </c>
      <c r="O45" s="34"/>
      <c r="P45" s="35">
        <f>IF(AND(ISNUMBER(N45),ISNUMBER(O45)),N45*O45,0)</f>
        <v>0</v>
      </c>
      <c r="Q45" s="32"/>
      <c r="R45" s="36"/>
      <c r="S45" s="36"/>
      <c r="T45" s="32"/>
    </row>
    <row r="46" spans="1:20" ht="38.25" customHeight="1" x14ac:dyDescent="0.3">
      <c r="A46" s="30" t="s">
        <v>183</v>
      </c>
      <c r="B46" s="31" t="s">
        <v>184</v>
      </c>
      <c r="C46" s="31" t="s">
        <v>185</v>
      </c>
      <c r="D46" s="31" t="s">
        <v>180</v>
      </c>
      <c r="E46" s="31" t="s">
        <v>186</v>
      </c>
      <c r="F46" s="30" t="s">
        <v>52</v>
      </c>
      <c r="G46" s="30" t="s">
        <v>187</v>
      </c>
      <c r="H46" s="31"/>
      <c r="I46" s="30" t="s">
        <v>188</v>
      </c>
      <c r="J46" s="37">
        <v>1</v>
      </c>
      <c r="K46" s="32"/>
      <c r="L46" s="32"/>
      <c r="M46" s="32"/>
      <c r="N46" s="38">
        <f>J46</f>
        <v>1</v>
      </c>
      <c r="O46" s="34"/>
      <c r="P46" s="35">
        <f>IF(AND(ISNUMBER(N46),ISNUMBER(O46)),N46*O46,0)</f>
        <v>0</v>
      </c>
      <c r="Q46" s="32"/>
      <c r="R46" s="36"/>
      <c r="S46" s="36"/>
      <c r="T46" s="32"/>
    </row>
    <row r="47" spans="1:20" ht="19.5" customHeight="1" x14ac:dyDescent="0.3">
      <c r="A47" s="5" t="s">
        <v>189</v>
      </c>
      <c r="B47" s="5"/>
      <c r="C47" s="5"/>
      <c r="D47" s="5"/>
      <c r="E47" s="5"/>
      <c r="F47" s="5"/>
      <c r="G47" s="5"/>
      <c r="H47" s="5"/>
      <c r="I47" s="5"/>
      <c r="J47" s="5"/>
      <c r="K47" s="5"/>
      <c r="L47" s="5"/>
      <c r="M47" s="5"/>
      <c r="N47" s="5"/>
      <c r="O47" s="5"/>
      <c r="P47" s="41">
        <f>SUM(P18:P46)</f>
        <v>0</v>
      </c>
      <c r="Q47" s="42" t="str">
        <f>IF(K11="","",K11)</f>
        <v/>
      </c>
      <c r="R47" s="42"/>
      <c r="S47" s="42"/>
      <c r="T47" s="42"/>
    </row>
    <row r="49" spans="1:12" ht="15" customHeight="1" x14ac:dyDescent="0.3">
      <c r="A49" s="4" t="s">
        <v>190</v>
      </c>
      <c r="B49" s="4"/>
      <c r="C49" s="4"/>
      <c r="D49" s="4"/>
      <c r="E49" s="4"/>
      <c r="F49" s="4"/>
      <c r="G49" s="4"/>
      <c r="H49" s="4"/>
      <c r="I49" s="4"/>
      <c r="J49" s="4"/>
      <c r="K49" s="4"/>
      <c r="L49" s="4"/>
    </row>
    <row r="50" spans="1:12" ht="51.75" customHeight="1" x14ac:dyDescent="0.3">
      <c r="A50" s="3" t="s">
        <v>191</v>
      </c>
      <c r="B50" s="3"/>
      <c r="C50" s="3"/>
      <c r="D50" s="3"/>
      <c r="E50" s="3"/>
      <c r="F50" s="3"/>
      <c r="G50" s="3"/>
      <c r="H50" s="3"/>
      <c r="I50" s="3"/>
      <c r="J50" s="3"/>
      <c r="K50" s="3"/>
      <c r="L50" s="3"/>
    </row>
    <row r="51" spans="1:12" ht="39.75" customHeight="1" x14ac:dyDescent="0.3">
      <c r="A51" s="3" t="s">
        <v>192</v>
      </c>
      <c r="B51" s="3"/>
      <c r="C51" s="3"/>
      <c r="D51" s="3"/>
      <c r="E51" s="3"/>
      <c r="F51" s="3"/>
      <c r="G51" s="3"/>
      <c r="H51" s="3"/>
      <c r="I51" s="3"/>
      <c r="J51" s="3"/>
      <c r="K51" s="3"/>
      <c r="L51" s="3"/>
    </row>
    <row r="52" spans="1:12" ht="27.75" customHeight="1" x14ac:dyDescent="0.3">
      <c r="A52" s="3" t="s">
        <v>193</v>
      </c>
      <c r="B52" s="3"/>
      <c r="C52" s="3"/>
      <c r="D52" s="3"/>
      <c r="E52" s="3"/>
      <c r="F52" s="3"/>
      <c r="G52" s="3"/>
      <c r="H52" s="3"/>
      <c r="I52" s="3"/>
      <c r="J52" s="3"/>
      <c r="K52" s="3"/>
      <c r="L52" s="3"/>
    </row>
    <row r="53" spans="1:12" ht="27.75" customHeight="1" x14ac:dyDescent="0.3">
      <c r="A53" s="3" t="s">
        <v>194</v>
      </c>
      <c r="B53" s="3"/>
      <c r="C53" s="3"/>
      <c r="D53" s="3"/>
      <c r="E53" s="3"/>
      <c r="F53" s="3"/>
      <c r="G53" s="3"/>
      <c r="H53" s="3"/>
      <c r="I53" s="3"/>
      <c r="J53" s="3"/>
      <c r="K53" s="3"/>
      <c r="L53" s="3"/>
    </row>
  </sheetData>
  <mergeCells count="32">
    <mergeCell ref="A51:L51"/>
    <mergeCell ref="A52:L52"/>
    <mergeCell ref="A53:L53"/>
    <mergeCell ref="K39:T39"/>
    <mergeCell ref="A42:T42"/>
    <mergeCell ref="A47:O47"/>
    <mergeCell ref="A49:L49"/>
    <mergeCell ref="A50:L50"/>
    <mergeCell ref="A18:T18"/>
    <mergeCell ref="A24:T24"/>
    <mergeCell ref="K27:T27"/>
    <mergeCell ref="K31:T31"/>
    <mergeCell ref="A36:T36"/>
    <mergeCell ref="K10:M10"/>
    <mergeCell ref="K11:M11"/>
    <mergeCell ref="K12:M12"/>
    <mergeCell ref="K13:M13"/>
    <mergeCell ref="A15:J15"/>
    <mergeCell ref="K15:T15"/>
    <mergeCell ref="A8:B8"/>
    <mergeCell ref="C8:D8"/>
    <mergeCell ref="K8:M8"/>
    <mergeCell ref="A9:B9"/>
    <mergeCell ref="C9:D9"/>
    <mergeCell ref="K9:M9"/>
    <mergeCell ref="A3:L3"/>
    <mergeCell ref="A6:B6"/>
    <mergeCell ref="C6:D6"/>
    <mergeCell ref="K6:M6"/>
    <mergeCell ref="A7:B7"/>
    <mergeCell ref="C7:D7"/>
    <mergeCell ref="K7:M7"/>
  </mergeCells>
  <dataValidations count="2">
    <dataValidation type="list" allowBlank="1" sqref="K12" xr:uid="{00000000-0002-0000-0000-000000000000}">
      <formula1>"Доставка до УГХК (местный участник) / Delivery to UGCC (local bidder),DAP Акчалак (Инкотермс 2010) / DAP Akchalak (Incoterms 2010)"</formula1>
      <formula2>0</formula2>
    </dataValidation>
    <dataValidation type="list" allowBlank="1" sqref="K13" xr:uid="{00000000-0002-0000-0000-000001000000}">
      <formula1>"Да / Yes,Нет / No"</formula1>
      <formula2>0</formula2>
    </dataValidation>
  </dataValidations>
  <printOptions horizontalCentered="1"/>
  <pageMargins left="0.3" right="0.3" top="0.5" bottom="0.5" header="0.511811023622047" footer="0.511811023622047"/>
  <pageSetup paperSize="8" fitToHeight="0"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44"/>
  <sheetViews>
    <sheetView showGridLines="0" zoomScaleNormal="100" workbookViewId="0">
      <pane xSplit="1" ySplit="5" topLeftCell="B35" activePane="bottomRight" state="frozen"/>
      <selection pane="topRight" activeCell="B1" sqref="B1"/>
      <selection pane="bottomLeft" activeCell="A6" sqref="A6"/>
      <selection pane="bottomRight"/>
    </sheetView>
  </sheetViews>
  <sheetFormatPr defaultColWidth="8.6640625" defaultRowHeight="14.4" x14ac:dyDescent="0.3"/>
  <cols>
    <col min="1" max="1" width="6" customWidth="1"/>
    <col min="2" max="3" width="55" customWidth="1"/>
    <col min="4" max="4" width="11" customWidth="1"/>
    <col min="5" max="5" width="16" customWidth="1"/>
    <col min="6" max="6" width="34" customWidth="1"/>
  </cols>
  <sheetData>
    <row r="1" spans="1:6" ht="17.399999999999999" x14ac:dyDescent="0.3">
      <c r="A1" s="14" t="s">
        <v>195</v>
      </c>
    </row>
    <row r="2" spans="1:6" x14ac:dyDescent="0.3">
      <c r="A2" s="15" t="s">
        <v>196</v>
      </c>
    </row>
    <row r="3" spans="1:6" ht="27.75" customHeight="1" x14ac:dyDescent="0.3">
      <c r="A3" s="13" t="s">
        <v>197</v>
      </c>
      <c r="B3" s="13"/>
      <c r="C3" s="13"/>
      <c r="D3" s="13"/>
      <c r="E3" s="13"/>
      <c r="F3" s="13"/>
    </row>
    <row r="5" spans="1:6" ht="42" customHeight="1" x14ac:dyDescent="0.3">
      <c r="A5" s="24" t="s">
        <v>25</v>
      </c>
      <c r="B5" s="24" t="s">
        <v>198</v>
      </c>
      <c r="C5" s="24" t="s">
        <v>199</v>
      </c>
      <c r="D5" s="24" t="s">
        <v>200</v>
      </c>
      <c r="E5" s="25" t="s">
        <v>201</v>
      </c>
      <c r="F5" s="25" t="s">
        <v>202</v>
      </c>
    </row>
    <row r="6" spans="1:6" ht="19.5" customHeight="1" x14ac:dyDescent="0.3">
      <c r="A6" s="2" t="s">
        <v>203</v>
      </c>
      <c r="B6" s="2"/>
      <c r="C6" s="2"/>
      <c r="D6" s="2"/>
      <c r="E6" s="2"/>
      <c r="F6" s="2"/>
    </row>
    <row r="7" spans="1:6" ht="38.25" customHeight="1" x14ac:dyDescent="0.3">
      <c r="A7" s="30">
        <v>1</v>
      </c>
      <c r="B7" s="31" t="s">
        <v>204</v>
      </c>
      <c r="C7" s="31" t="s">
        <v>205</v>
      </c>
      <c r="D7" s="30" t="s">
        <v>99</v>
      </c>
      <c r="E7" s="43"/>
      <c r="F7" s="32"/>
    </row>
    <row r="8" spans="1:6" ht="27" customHeight="1" x14ac:dyDescent="0.3">
      <c r="A8" s="30">
        <v>2</v>
      </c>
      <c r="B8" s="31" t="s">
        <v>206</v>
      </c>
      <c r="C8" s="31" t="s">
        <v>207</v>
      </c>
      <c r="D8" s="30" t="s">
        <v>99</v>
      </c>
      <c r="E8" s="43"/>
      <c r="F8" s="32"/>
    </row>
    <row r="9" spans="1:6" ht="27" customHeight="1" x14ac:dyDescent="0.3">
      <c r="A9" s="30">
        <v>3</v>
      </c>
      <c r="B9" s="31" t="s">
        <v>208</v>
      </c>
      <c r="C9" s="31" t="s">
        <v>209</v>
      </c>
      <c r="D9" s="30" t="s">
        <v>99</v>
      </c>
      <c r="E9" s="43"/>
      <c r="F9" s="32"/>
    </row>
    <row r="10" spans="1:6" ht="49.5" customHeight="1" x14ac:dyDescent="0.3">
      <c r="A10" s="30">
        <v>4</v>
      </c>
      <c r="B10" s="31" t="s">
        <v>210</v>
      </c>
      <c r="C10" s="31" t="s">
        <v>211</v>
      </c>
      <c r="D10" s="30" t="s">
        <v>99</v>
      </c>
      <c r="E10" s="43"/>
      <c r="F10" s="32"/>
    </row>
    <row r="11" spans="1:6" ht="15" customHeight="1" x14ac:dyDescent="0.3">
      <c r="A11" s="30">
        <v>5</v>
      </c>
      <c r="B11" s="31" t="s">
        <v>212</v>
      </c>
      <c r="C11" s="31" t="s">
        <v>213</v>
      </c>
      <c r="D11" s="30" t="s">
        <v>99</v>
      </c>
      <c r="E11" s="43"/>
      <c r="F11" s="32"/>
    </row>
    <row r="12" spans="1:6" ht="19.5" customHeight="1" x14ac:dyDescent="0.3">
      <c r="A12" s="2" t="s">
        <v>214</v>
      </c>
      <c r="B12" s="2"/>
      <c r="C12" s="2"/>
      <c r="D12" s="2"/>
      <c r="E12" s="2"/>
      <c r="F12" s="2"/>
    </row>
    <row r="13" spans="1:6" ht="38.25" customHeight="1" x14ac:dyDescent="0.3">
      <c r="A13" s="30">
        <v>6</v>
      </c>
      <c r="B13" s="31" t="s">
        <v>215</v>
      </c>
      <c r="C13" s="31" t="s">
        <v>216</v>
      </c>
      <c r="D13" s="30" t="s">
        <v>80</v>
      </c>
      <c r="E13" s="43"/>
      <c r="F13" s="32"/>
    </row>
    <row r="14" spans="1:6" ht="27" customHeight="1" x14ac:dyDescent="0.3">
      <c r="A14" s="30">
        <v>7</v>
      </c>
      <c r="B14" s="31" t="s">
        <v>217</v>
      </c>
      <c r="C14" s="31" t="s">
        <v>218</v>
      </c>
      <c r="D14" s="30" t="s">
        <v>80</v>
      </c>
      <c r="E14" s="43"/>
      <c r="F14" s="32"/>
    </row>
    <row r="15" spans="1:6" ht="27" customHeight="1" x14ac:dyDescent="0.3">
      <c r="A15" s="30">
        <v>8</v>
      </c>
      <c r="B15" s="31" t="s">
        <v>219</v>
      </c>
      <c r="C15" s="31" t="s">
        <v>220</v>
      </c>
      <c r="D15" s="30" t="s">
        <v>80</v>
      </c>
      <c r="E15" s="43"/>
      <c r="F15" s="32"/>
    </row>
    <row r="16" spans="1:6" ht="49.5" customHeight="1" x14ac:dyDescent="0.3">
      <c r="A16" s="30">
        <v>9</v>
      </c>
      <c r="B16" s="31" t="s">
        <v>221</v>
      </c>
      <c r="C16" s="31" t="s">
        <v>222</v>
      </c>
      <c r="D16" s="30" t="s">
        <v>80</v>
      </c>
      <c r="E16" s="43"/>
      <c r="F16" s="32"/>
    </row>
    <row r="17" spans="1:6" ht="27" customHeight="1" x14ac:dyDescent="0.3">
      <c r="A17" s="30">
        <v>10</v>
      </c>
      <c r="B17" s="31" t="s">
        <v>223</v>
      </c>
      <c r="C17" s="31" t="s">
        <v>224</v>
      </c>
      <c r="D17" s="30" t="s">
        <v>138</v>
      </c>
      <c r="E17" s="43"/>
      <c r="F17" s="32"/>
    </row>
    <row r="18" spans="1:6" ht="19.5" customHeight="1" x14ac:dyDescent="0.3">
      <c r="A18" s="2" t="s">
        <v>225</v>
      </c>
      <c r="B18" s="2"/>
      <c r="C18" s="2"/>
      <c r="D18" s="2"/>
      <c r="E18" s="2"/>
      <c r="F18" s="2"/>
    </row>
    <row r="19" spans="1:6" ht="15" customHeight="1" x14ac:dyDescent="0.3">
      <c r="A19" s="30">
        <v>11</v>
      </c>
      <c r="B19" s="31" t="s">
        <v>226</v>
      </c>
      <c r="C19" s="31" t="s">
        <v>227</v>
      </c>
      <c r="D19" s="30" t="s">
        <v>87</v>
      </c>
      <c r="E19" s="43"/>
      <c r="F19" s="32"/>
    </row>
    <row r="20" spans="1:6" ht="15" customHeight="1" x14ac:dyDescent="0.3">
      <c r="A20" s="30">
        <v>12</v>
      </c>
      <c r="B20" s="31" t="s">
        <v>228</v>
      </c>
      <c r="C20" s="31" t="s">
        <v>229</v>
      </c>
      <c r="D20" s="30" t="s">
        <v>87</v>
      </c>
      <c r="E20" s="43"/>
      <c r="F20" s="32"/>
    </row>
    <row r="21" spans="1:6" ht="27" customHeight="1" x14ac:dyDescent="0.3">
      <c r="A21" s="30">
        <v>13</v>
      </c>
      <c r="B21" s="31" t="s">
        <v>230</v>
      </c>
      <c r="C21" s="31" t="s">
        <v>231</v>
      </c>
      <c r="D21" s="30" t="s">
        <v>138</v>
      </c>
      <c r="E21" s="43"/>
      <c r="F21" s="32"/>
    </row>
    <row r="22" spans="1:6" ht="27" customHeight="1" x14ac:dyDescent="0.3">
      <c r="A22" s="30">
        <v>14</v>
      </c>
      <c r="B22" s="31" t="s">
        <v>232</v>
      </c>
      <c r="C22" s="31" t="s">
        <v>233</v>
      </c>
      <c r="D22" s="30" t="s">
        <v>145</v>
      </c>
      <c r="E22" s="43"/>
      <c r="F22" s="32"/>
    </row>
    <row r="23" spans="1:6" ht="38.25" customHeight="1" x14ac:dyDescent="0.3">
      <c r="A23" s="30">
        <v>15</v>
      </c>
      <c r="B23" s="31" t="s">
        <v>234</v>
      </c>
      <c r="C23" s="31" t="s">
        <v>235</v>
      </c>
      <c r="D23" s="30" t="s">
        <v>87</v>
      </c>
      <c r="E23" s="43"/>
      <c r="F23" s="32"/>
    </row>
    <row r="24" spans="1:6" ht="38.25" customHeight="1" x14ac:dyDescent="0.3">
      <c r="A24" s="30">
        <v>16</v>
      </c>
      <c r="B24" s="31" t="s">
        <v>236</v>
      </c>
      <c r="C24" s="31" t="s">
        <v>237</v>
      </c>
      <c r="D24" s="30" t="s">
        <v>76</v>
      </c>
      <c r="E24" s="43"/>
      <c r="F24" s="32"/>
    </row>
    <row r="25" spans="1:6" ht="27" customHeight="1" x14ac:dyDescent="0.3">
      <c r="A25" s="30">
        <v>17</v>
      </c>
      <c r="B25" s="31" t="s">
        <v>238</v>
      </c>
      <c r="C25" s="31" t="s">
        <v>239</v>
      </c>
      <c r="D25" s="30" t="s">
        <v>76</v>
      </c>
      <c r="E25" s="43"/>
      <c r="F25" s="32"/>
    </row>
    <row r="26" spans="1:6" ht="49.5" customHeight="1" x14ac:dyDescent="0.3">
      <c r="A26" s="30">
        <v>18</v>
      </c>
      <c r="B26" s="31" t="s">
        <v>240</v>
      </c>
      <c r="C26" s="31" t="s">
        <v>241</v>
      </c>
      <c r="D26" s="30" t="s">
        <v>94</v>
      </c>
      <c r="E26" s="43"/>
      <c r="F26" s="32"/>
    </row>
    <row r="27" spans="1:6" ht="19.5" customHeight="1" x14ac:dyDescent="0.3">
      <c r="A27" s="2" t="s">
        <v>242</v>
      </c>
      <c r="B27" s="2"/>
      <c r="C27" s="2"/>
      <c r="D27" s="2"/>
      <c r="E27" s="2"/>
      <c r="F27" s="2"/>
    </row>
    <row r="28" spans="1:6" ht="38.25" customHeight="1" x14ac:dyDescent="0.3">
      <c r="A28" s="30">
        <v>19</v>
      </c>
      <c r="B28" s="31" t="s">
        <v>243</v>
      </c>
      <c r="C28" s="31" t="s">
        <v>244</v>
      </c>
      <c r="D28" s="30" t="s">
        <v>156</v>
      </c>
      <c r="E28" s="43"/>
      <c r="F28" s="32"/>
    </row>
    <row r="29" spans="1:6" ht="49.5" customHeight="1" x14ac:dyDescent="0.3">
      <c r="A29" s="30">
        <v>20</v>
      </c>
      <c r="B29" s="31" t="s">
        <v>245</v>
      </c>
      <c r="C29" s="31" t="s">
        <v>246</v>
      </c>
      <c r="D29" s="30" t="s">
        <v>156</v>
      </c>
      <c r="E29" s="43"/>
      <c r="F29" s="32"/>
    </row>
    <row r="30" spans="1:6" ht="38.25" customHeight="1" x14ac:dyDescent="0.3">
      <c r="A30" s="30">
        <v>21</v>
      </c>
      <c r="B30" s="31" t="s">
        <v>247</v>
      </c>
      <c r="C30" s="31" t="s">
        <v>248</v>
      </c>
      <c r="D30" s="30" t="s">
        <v>156</v>
      </c>
      <c r="E30" s="43"/>
      <c r="F30" s="32"/>
    </row>
    <row r="31" spans="1:6" ht="19.5" customHeight="1" x14ac:dyDescent="0.3">
      <c r="A31" s="2" t="s">
        <v>249</v>
      </c>
      <c r="B31" s="2"/>
      <c r="C31" s="2"/>
      <c r="D31" s="2"/>
      <c r="E31" s="2"/>
      <c r="F31" s="2"/>
    </row>
    <row r="32" spans="1:6" ht="38.25" customHeight="1" x14ac:dyDescent="0.3">
      <c r="A32" s="30">
        <v>22</v>
      </c>
      <c r="B32" s="31" t="s">
        <v>250</v>
      </c>
      <c r="C32" s="31" t="s">
        <v>251</v>
      </c>
      <c r="D32" s="30" t="s">
        <v>252</v>
      </c>
      <c r="E32" s="43"/>
      <c r="F32" s="32"/>
    </row>
    <row r="33" spans="1:6" ht="38.25" customHeight="1" x14ac:dyDescent="0.3">
      <c r="A33" s="30">
        <v>23</v>
      </c>
      <c r="B33" s="31" t="s">
        <v>253</v>
      </c>
      <c r="C33" s="31" t="s">
        <v>254</v>
      </c>
      <c r="D33" s="30" t="s">
        <v>252</v>
      </c>
      <c r="E33" s="43"/>
      <c r="F33" s="32"/>
    </row>
    <row r="34" spans="1:6" ht="19.5" customHeight="1" x14ac:dyDescent="0.3">
      <c r="A34" s="2" t="s">
        <v>255</v>
      </c>
      <c r="B34" s="2"/>
      <c r="C34" s="2"/>
      <c r="D34" s="2"/>
      <c r="E34" s="2"/>
      <c r="F34" s="2"/>
    </row>
    <row r="35" spans="1:6" ht="38.25" customHeight="1" x14ac:dyDescent="0.3">
      <c r="A35" s="30">
        <v>24</v>
      </c>
      <c r="B35" s="31" t="s">
        <v>256</v>
      </c>
      <c r="C35" s="31" t="s">
        <v>257</v>
      </c>
      <c r="D35" s="30" t="s">
        <v>160</v>
      </c>
      <c r="E35" s="43"/>
      <c r="F35" s="32"/>
    </row>
    <row r="36" spans="1:6" ht="38.25" customHeight="1" x14ac:dyDescent="0.3">
      <c r="A36" s="30">
        <v>25</v>
      </c>
      <c r="B36" s="31" t="s">
        <v>258</v>
      </c>
      <c r="C36" s="31" t="s">
        <v>259</v>
      </c>
      <c r="D36" s="30" t="s">
        <v>160</v>
      </c>
      <c r="E36" s="43"/>
      <c r="F36" s="32"/>
    </row>
    <row r="37" spans="1:6" ht="38.25" customHeight="1" x14ac:dyDescent="0.3">
      <c r="A37" s="30">
        <v>26</v>
      </c>
      <c r="B37" s="31" t="s">
        <v>260</v>
      </c>
      <c r="C37" s="31" t="s">
        <v>261</v>
      </c>
      <c r="D37" s="30" t="s">
        <v>160</v>
      </c>
      <c r="E37" s="43"/>
      <c r="F37" s="32"/>
    </row>
    <row r="38" spans="1:6" ht="27" customHeight="1" x14ac:dyDescent="0.3">
      <c r="A38" s="30">
        <v>27</v>
      </c>
      <c r="B38" s="31" t="s">
        <v>262</v>
      </c>
      <c r="C38" s="31" t="s">
        <v>263</v>
      </c>
      <c r="D38" s="30" t="s">
        <v>160</v>
      </c>
      <c r="E38" s="43"/>
      <c r="F38" s="32"/>
    </row>
    <row r="39" spans="1:6" ht="38.25" customHeight="1" x14ac:dyDescent="0.3">
      <c r="A39" s="30">
        <v>28</v>
      </c>
      <c r="B39" s="31" t="s">
        <v>264</v>
      </c>
      <c r="C39" s="31" t="s">
        <v>265</v>
      </c>
      <c r="D39" s="30" t="s">
        <v>266</v>
      </c>
      <c r="E39" s="43"/>
      <c r="F39" s="32"/>
    </row>
    <row r="40" spans="1:6" ht="61.5" customHeight="1" x14ac:dyDescent="0.3">
      <c r="A40" s="30">
        <v>29</v>
      </c>
      <c r="B40" s="31" t="s">
        <v>267</v>
      </c>
      <c r="C40" s="31" t="s">
        <v>268</v>
      </c>
      <c r="D40" s="30" t="s">
        <v>269</v>
      </c>
      <c r="E40" s="43"/>
      <c r="F40" s="32"/>
    </row>
    <row r="41" spans="1:6" ht="19.5" customHeight="1" x14ac:dyDescent="0.3">
      <c r="A41" s="2" t="s">
        <v>270</v>
      </c>
      <c r="B41" s="2"/>
      <c r="C41" s="2"/>
      <c r="D41" s="2"/>
      <c r="E41" s="2"/>
      <c r="F41" s="2"/>
    </row>
    <row r="42" spans="1:6" ht="49.5" customHeight="1" x14ac:dyDescent="0.3">
      <c r="A42" s="30">
        <v>30</v>
      </c>
      <c r="B42" s="31" t="s">
        <v>271</v>
      </c>
      <c r="C42" s="31" t="s">
        <v>272</v>
      </c>
      <c r="D42" s="30" t="s">
        <v>252</v>
      </c>
      <c r="E42" s="43"/>
      <c r="F42" s="32"/>
    </row>
    <row r="44" spans="1:6" ht="30" customHeight="1" x14ac:dyDescent="0.3">
      <c r="A44" s="1" t="s">
        <v>273</v>
      </c>
      <c r="B44" s="1"/>
      <c r="C44" s="1"/>
      <c r="D44" s="1"/>
      <c r="E44" s="1"/>
      <c r="F44" s="1"/>
    </row>
  </sheetData>
  <mergeCells count="9">
    <mergeCell ref="A31:F31"/>
    <mergeCell ref="A34:F34"/>
    <mergeCell ref="A41:F41"/>
    <mergeCell ref="A44:F44"/>
    <mergeCell ref="A3:F3"/>
    <mergeCell ref="A6:F6"/>
    <mergeCell ref="A12:F12"/>
    <mergeCell ref="A18:F18"/>
    <mergeCell ref="A27:F27"/>
  </mergeCells>
  <dataValidations count="1">
    <dataValidation type="list" allowBlank="1" sqref="E7:E11 E13:E17 E19:E26 E28:E30 E32:E33 E35:E40 E42" xr:uid="{00000000-0002-0000-0100-000000000000}">
      <formula1>"Да / Yes,Нет / No"</formula1>
      <formula2>0</formula2>
    </dataValidation>
  </dataValidation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1. Цены - Prices</vt:lpstr>
      <vt:lpstr>2. Условия - Terms</vt:lpstr>
      <vt:lpstr>'1. Цены - Prices'!Print_Titles</vt:lpstr>
      <vt:lpstr>'2. Условия - Terms'!Print_Titles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Tohir Sharipov</cp:lastModifiedBy>
  <cp:revision>0</cp:revision>
  <dcterms:created xsi:type="dcterms:W3CDTF">2026-10-27T08:26:12Z</dcterms:created>
  <dcterms:modified xsi:type="dcterms:W3CDTF">2026-10-27T08:39:09Z</dcterms:modified>
  <dc:language>en-US</dc:language>
</cp:coreProperties>
</file>